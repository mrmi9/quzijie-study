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b2ca499ef461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批次摘要" sheetId="1" r:id="R3fc2eb11e48640dd"/>
    <sheet xmlns:r="http://schemas.openxmlformats.org/officeDocument/2006/relationships" name="来源审查" sheetId="2" r:id="Re546910a368047c1"/>
    <sheet xmlns:r="http://schemas.openxmlformats.org/officeDocument/2006/relationships" name="来源目录" sheetId="3" r:id="R9a7ab53474c948f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6">
    <font>
      <sz val="11"/>
      <name val="Carlito"/>
    </font>
    <font>
      <sz val="10"/>
      <color rgb="FF172033"/>
      <name val="Microsoft YaHei"/>
    </font>
    <font>
      <b/>
      <sz val="10"/>
      <color rgb="FFFFFFFF"/>
      <name val="Microsoft YaHei"/>
    </font>
    <font>
      <b/>
      <sz val="18"/>
      <color rgb="FFFFFFFF"/>
      <name val="Microsoft YaHei"/>
    </font>
    <font>
      <b/>
      <sz val="10"/>
      <color rgb="FF1E4DC7"/>
      <name val="Microsoft YaHei"/>
    </font>
    <font>
      <b/>
      <sz val="10"/>
      <color rgb="FF147A45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2457D6"/>
      </patternFill>
    </fill>
    <fill>
      <patternFill patternType="solid">
        <fgColor rgb="FF1E4DC7"/>
      </patternFill>
    </fill>
    <fill>
      <patternFill patternType="solid">
        <fgColor rgb="FFE9F0FF"/>
      </patternFill>
    </fill>
    <fill>
      <patternFill patternType="solid">
        <fgColor rgb="FFEAF8F0"/>
      </patternFill>
    </fill>
    <fill>
      <patternFill patternType="solid">
        <fgColor rgb="FF172033"/>
      </patternFill>
    </fill>
  </fills>
  <borders count="4">
    <border/>
    <border>
      <right/>
    </border>
    <border>
      <bottom/>
    </border>
    <border>
      <right/>
      <bottom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2" xfId="0" applyNumberFormat="1" applyFont="1" applyFill="1" applyBorder="1"/>
    <xf numFmtId="0" fontId="1" fillId="0" borderId="3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wrapText="1"/>
    </xf>
    <xf numFmtId="0" fontId="1" fillId="0" borderId="2" xfId="0" applyNumberFormat="1" applyFont="1" applyFill="1" applyBorder="1" applyAlignment="1">
      <alignment wrapText="1"/>
    </xf>
    <xf numFmtId="0" fontId="1" fillId="0" borderId="3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center" vertical="top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5" fillId="5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6" borderId="0" xfId="0" applyNumberFormat="1" applyFont="1" applyFill="1" applyBorder="1" applyAlignment="1">
      <alignment vertical="center" wrapText="1"/>
    </xf>
    <xf numFmtId="0" fontId="2" fillId="6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2560f69914648" /><Relationship Type="http://schemas.openxmlformats.org/officeDocument/2006/relationships/theme" Target="/xl/theme/theme1.xml" Id="R438843c22d99496f" /><Relationship Type="http://schemas.openxmlformats.org/officeDocument/2006/relationships/sharedStrings" Target="/xl/sharedStrings.xml" Id="R2dd6f87753ed4ea1" /><Relationship Type="http://schemas.openxmlformats.org/officeDocument/2006/relationships/worksheet" Target="/xl/worksheets/sheet1.xml" Id="R3fc2eb11e48640dd" /><Relationship Type="http://schemas.openxmlformats.org/officeDocument/2006/relationships/worksheet" Target="/xl/worksheets/sheet2.xml" Id="Re546910a368047c1" /><Relationship Type="http://schemas.openxmlformats.org/officeDocument/2006/relationships/worksheet" Target="/xl/worksheets/sheet3.xml" Id="R9a7ab53474c948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17" hidden="0" customWidth="1"/>
    <col min="3" max="3" width="17" hidden="0" customWidth="1"/>
    <col min="4" max="4" width="17" hidden="0" customWidth="1"/>
    <col min="5" max="5" width="17" hidden="0" customWidth="1"/>
    <col min="6" max="6" width="17" hidden="0" customWidth="1"/>
    <col min="7" max="7" width="17" hidden="0" customWidth="1"/>
    <col min="8" max="8" width="20" hidden="0" customWidth="1"/>
  </cols>
  <sheetData>
    <row r="1" ht="42" customHeight="1">
      <c r="A1" s="24" t="str">
        <v>趣刷题喽 · 开放资料原创题库发布批次</v>
      </c>
      <c r="B1" s="24" t="str">
        <v>趣刷题喽 · 开放资料原创题库发布批次</v>
      </c>
      <c r="C1" s="24" t="str">
        <v>趣刷题喽 · 开放资料原创题库发布批次</v>
      </c>
      <c r="D1" s="24" t="str">
        <v>趣刷题喽 · 开放资料原创题库发布批次</v>
      </c>
      <c r="E1" s="24" t="str">
        <v>趣刷题喽 · 开放资料原创题库发布批次</v>
      </c>
      <c r="F1" s="24" t="str">
        <v>趣刷题喽 · 开放资料原创题库发布批次</v>
      </c>
      <c r="G1" s="24" t="str">
        <v>趣刷题喽 · 开放资料原创题库发布批次</v>
      </c>
      <c r="H1" s="24" t="str">
        <v>趣刷题喽 · 开放资料原创题库发布批次</v>
      </c>
    </row>
    <row r="2">
      <c r="A2" s="21"/>
      <c r="B2" s="21"/>
      <c r="C2" s="21"/>
      <c r="D2" s="21"/>
      <c r="E2" s="21"/>
      <c r="F2" s="21"/>
      <c r="G2" s="21"/>
      <c r="H2" s="21"/>
    </row>
    <row r="3">
      <c r="A3" s="26" t="str">
        <v>批次编号</v>
      </c>
      <c r="B3" s="21" t="str">
        <v>open-sources-2026-07-17</v>
      </c>
      <c r="C3" s="21"/>
      <c r="D3" s="28" t="str">
        <v>事实复核</v>
      </c>
      <c r="E3" s="21" t="n">
        <v>350</v>
      </c>
      <c r="F3" s="21"/>
      <c r="G3" s="21"/>
      <c r="H3" s="21"/>
    </row>
    <row r="4">
      <c r="A4" s="26" t="str">
        <v>计划题数</v>
      </c>
      <c r="B4" s="21" t="n">
        <v>350</v>
      </c>
      <c r="C4" s="21"/>
      <c r="D4" s="28" t="str">
        <v>答案复核</v>
      </c>
      <c r="E4" s="21" t="n">
        <v>350</v>
      </c>
      <c r="F4" s="21"/>
      <c r="G4" s="21"/>
      <c r="H4" s="21"/>
    </row>
    <row r="5">
      <c r="A5" s="26" t="str">
        <v>来源条目</v>
      </c>
      <c r="B5" s="21" t="n">
        <v>58</v>
      </c>
      <c r="C5" s="21"/>
      <c r="D5" s="28" t="str">
        <v>版权复核</v>
      </c>
      <c r="E5" s="21" t="n">
        <v>350</v>
      </c>
      <c r="F5" s="21"/>
      <c r="G5" s="21"/>
      <c r="H5" s="21"/>
    </row>
    <row r="6">
      <c r="A6" s="26" t="str">
        <v>408 题池变更</v>
      </c>
      <c r="B6" s="21" t="str">
        <v>无</v>
      </c>
      <c r="C6" s="21"/>
      <c r="D6" s="28" t="str">
        <v>重复复核</v>
      </c>
      <c r="E6" s="21" t="n">
        <v>350</v>
      </c>
      <c r="F6" s="21"/>
      <c r="G6" s="21"/>
      <c r="H6" s="21"/>
    </row>
    <row r="7">
      <c r="A7" s="26" t="str">
        <v>发布方式</v>
      </c>
      <c r="B7" s="21" t="str">
        <v>后台暂存 → 非提交人复核 → 原子发布</v>
      </c>
      <c r="C7" s="21"/>
      <c r="D7" s="28" t="str">
        <v>独立复核</v>
      </c>
      <c r="E7" s="21" t="n">
        <v>350</v>
      </c>
      <c r="F7" s="21"/>
      <c r="G7" s="21"/>
      <c r="H7" s="21"/>
    </row>
    <row r="8">
      <c r="A8" s="21"/>
      <c r="B8" s="21"/>
      <c r="C8" s="21"/>
      <c r="D8" s="21"/>
      <c r="E8" s="21"/>
      <c r="F8" s="21"/>
      <c r="G8" s="21"/>
      <c r="H8" s="21"/>
    </row>
    <row r="9">
      <c r="A9" s="21"/>
      <c r="B9" s="21"/>
      <c r="C9" s="21"/>
      <c r="D9" s="21"/>
      <c r="E9" s="21"/>
      <c r="F9" s="21"/>
      <c r="G9" s="21"/>
      <c r="H9" s="21"/>
    </row>
    <row r="10">
      <c r="A10" s="19" t="str">
        <v>学科</v>
      </c>
      <c r="B10" s="19" t="str">
        <v>总数</v>
      </c>
      <c r="C10" s="19" t="str">
        <v>单选</v>
      </c>
      <c r="D10" s="19" t="str">
        <v>多选</v>
      </c>
      <c r="E10" s="19" t="str">
        <v>判断</v>
      </c>
      <c r="F10" s="19" t="str">
        <v>填空</v>
      </c>
      <c r="G10" s="19" t="str">
        <v>简答</v>
      </c>
      <c r="H10" s="19" t="str">
        <v>状态</v>
      </c>
    </row>
    <row r="11">
      <c r="A11" s="32" t="str">
        <v>C/C++</v>
      </c>
      <c r="B11" s="32" t="n">
        <f>COUNTIF('来源审查'!$B$2:$B$351,"cpp")</f>
        <v>50</v>
      </c>
      <c r="C11" s="32" t="n">
        <f>COUNTIFS('来源审查'!$B$2:$B$351,"cpp",'来源审查'!$C$2:$C$351,"single")</f>
        <v>30</v>
      </c>
      <c r="D11" s="32" t="n">
        <f>COUNTIFS('来源审查'!$B$2:$B$351,"cpp",'来源审查'!$C$2:$C$351,"multiple")</f>
        <v>8</v>
      </c>
      <c r="E11" s="32" t="n">
        <f>COUNTIFS('来源审查'!$B$2:$B$351,"cpp",'来源审查'!$C$2:$C$351,"judge")</f>
        <v>5</v>
      </c>
      <c r="F11" s="32" t="n">
        <f>COUNTIFS('来源审查'!$B$2:$B$351,"cpp",'来源审查'!$C$2:$C$351,"fill_blank")</f>
        <v>4</v>
      </c>
      <c r="G11" s="32" t="n">
        <f>COUNTIFS('来源审查'!$B$2:$B$351,"cpp",'来源审查'!$C$2:$C$351,"short_answer")</f>
        <v>3</v>
      </c>
      <c r="H11" s="32" t="str">
        <f>IF(AND(B11=50,C11=30,D11=8,E11=5,F11=4,G11=3),"通过","检查")</f>
        <v>通过</v>
      </c>
    </row>
    <row r="12">
      <c r="A12" s="32" t="str">
        <v>Linux</v>
      </c>
      <c r="B12" s="32" t="n">
        <f>COUNTIF('来源审查'!$B$2:$B$351,"linux")</f>
        <v>50</v>
      </c>
      <c r="C12" s="32" t="n">
        <f>COUNTIFS('来源审查'!$B$2:$B$351,"linux",'来源审查'!$C$2:$C$351,"single")</f>
        <v>30</v>
      </c>
      <c r="D12" s="32" t="n">
        <f>COUNTIFS('来源审查'!$B$2:$B$351,"linux",'来源审查'!$C$2:$C$351,"multiple")</f>
        <v>8</v>
      </c>
      <c r="E12" s="32" t="n">
        <f>COUNTIFS('来源审查'!$B$2:$B$351,"linux",'来源审查'!$C$2:$C$351,"judge")</f>
        <v>5</v>
      </c>
      <c r="F12" s="32" t="n">
        <f>COUNTIFS('来源审查'!$B$2:$B$351,"linux",'来源审查'!$C$2:$C$351,"fill_blank")</f>
        <v>4</v>
      </c>
      <c r="G12" s="32" t="n">
        <f>COUNTIFS('来源审查'!$B$2:$B$351,"linux",'来源审查'!$C$2:$C$351,"short_answer")</f>
        <v>3</v>
      </c>
      <c r="H12" s="32" t="str">
        <f>IF(AND(B12=50,C12=30,D12=8,E12=5,F12=4,G12=3),"通过","检查")</f>
        <v>通过</v>
      </c>
    </row>
    <row r="13">
      <c r="A13" s="32" t="str">
        <v>操作系统</v>
      </c>
      <c r="B13" s="32" t="n">
        <f>COUNTIF('来源审查'!$B$2:$B$351,"os")</f>
        <v>50</v>
      </c>
      <c r="C13" s="32" t="n">
        <f>COUNTIFS('来源审查'!$B$2:$B$351,"os",'来源审查'!$C$2:$C$351,"single")</f>
        <v>30</v>
      </c>
      <c r="D13" s="32" t="n">
        <f>COUNTIFS('来源审查'!$B$2:$B$351,"os",'来源审查'!$C$2:$C$351,"multiple")</f>
        <v>8</v>
      </c>
      <c r="E13" s="32" t="n">
        <f>COUNTIFS('来源审查'!$B$2:$B$351,"os",'来源审查'!$C$2:$C$351,"judge")</f>
        <v>5</v>
      </c>
      <c r="F13" s="32" t="n">
        <f>COUNTIFS('来源审查'!$B$2:$B$351,"os",'来源审查'!$C$2:$C$351,"fill_blank")</f>
        <v>4</v>
      </c>
      <c r="G13" s="32" t="n">
        <f>COUNTIFS('来源审查'!$B$2:$B$351,"os",'来源审查'!$C$2:$C$351,"short_answer")</f>
        <v>3</v>
      </c>
      <c r="H13" s="32" t="str">
        <f>IF(AND(B13=50,C13=30,D13=8,E13=5,F13=4,G13=3),"通过","检查")</f>
        <v>通过</v>
      </c>
    </row>
    <row r="14">
      <c r="A14" s="32" t="str">
        <v>数据结构</v>
      </c>
      <c r="B14" s="32" t="n">
        <f>COUNTIF('来源审查'!$B$2:$B$351,"ds")</f>
        <v>50</v>
      </c>
      <c r="C14" s="32" t="n">
        <f>COUNTIFS('来源审查'!$B$2:$B$351,"ds",'来源审查'!$C$2:$C$351,"single")</f>
        <v>30</v>
      </c>
      <c r="D14" s="32" t="n">
        <f>COUNTIFS('来源审查'!$B$2:$B$351,"ds",'来源审查'!$C$2:$C$351,"multiple")</f>
        <v>8</v>
      </c>
      <c r="E14" s="32" t="n">
        <f>COUNTIFS('来源审查'!$B$2:$B$351,"ds",'来源审查'!$C$2:$C$351,"judge")</f>
        <v>5</v>
      </c>
      <c r="F14" s="32" t="n">
        <f>COUNTIFS('来源审查'!$B$2:$B$351,"ds",'来源审查'!$C$2:$C$351,"fill_blank")</f>
        <v>4</v>
      </c>
      <c r="G14" s="32" t="n">
        <f>COUNTIFS('来源审查'!$B$2:$B$351,"ds",'来源审查'!$C$2:$C$351,"short_answer")</f>
        <v>3</v>
      </c>
      <c r="H14" s="32" t="str">
        <f>IF(AND(B14=50,C14=30,D14=8,E14=5,F14=4,G14=3),"通过","检查")</f>
        <v>通过</v>
      </c>
    </row>
    <row r="15">
      <c r="A15" s="32" t="str">
        <v>计算机网络</v>
      </c>
      <c r="B15" s="32" t="n">
        <f>COUNTIF('来源审查'!$B$2:$B$351,"network")</f>
        <v>50</v>
      </c>
      <c r="C15" s="32" t="n">
        <f>COUNTIFS('来源审查'!$B$2:$B$351,"network",'来源审查'!$C$2:$C$351,"single")</f>
        <v>30</v>
      </c>
      <c r="D15" s="32" t="n">
        <f>COUNTIFS('来源审查'!$B$2:$B$351,"network",'来源审查'!$C$2:$C$351,"multiple")</f>
        <v>8</v>
      </c>
      <c r="E15" s="32" t="n">
        <f>COUNTIFS('来源审查'!$B$2:$B$351,"network",'来源审查'!$C$2:$C$351,"judge")</f>
        <v>5</v>
      </c>
      <c r="F15" s="32" t="n">
        <f>COUNTIFS('来源审查'!$B$2:$B$351,"network",'来源审查'!$C$2:$C$351,"fill_blank")</f>
        <v>4</v>
      </c>
      <c r="G15" s="32" t="n">
        <f>COUNTIFS('来源审查'!$B$2:$B$351,"network",'来源审查'!$C$2:$C$351,"short_answer")</f>
        <v>3</v>
      </c>
      <c r="H15" s="32" t="str">
        <f>IF(AND(B15=50,C15=30,D15=8,E15=5,F15=4,G15=3),"通过","检查")</f>
        <v>通过</v>
      </c>
    </row>
    <row r="16">
      <c r="A16" s="32" t="str">
        <v>STL</v>
      </c>
      <c r="B16" s="32" t="n">
        <f>COUNTIF('来源审查'!$B$2:$B$351,"stl")</f>
        <v>50</v>
      </c>
      <c r="C16" s="32" t="n">
        <f>COUNTIFS('来源审查'!$B$2:$B$351,"stl",'来源审查'!$C$2:$C$351,"single")</f>
        <v>30</v>
      </c>
      <c r="D16" s="32" t="n">
        <f>COUNTIFS('来源审查'!$B$2:$B$351,"stl",'来源审查'!$C$2:$C$351,"multiple")</f>
        <v>8</v>
      </c>
      <c r="E16" s="32" t="n">
        <f>COUNTIFS('来源审查'!$B$2:$B$351,"stl",'来源审查'!$C$2:$C$351,"judge")</f>
        <v>5</v>
      </c>
      <c r="F16" s="32" t="n">
        <f>COUNTIFS('来源审查'!$B$2:$B$351,"stl",'来源审查'!$C$2:$C$351,"fill_blank")</f>
        <v>4</v>
      </c>
      <c r="G16" s="32" t="n">
        <f>COUNTIFS('来源审查'!$B$2:$B$351,"stl",'来源审查'!$C$2:$C$351,"short_answer")</f>
        <v>3</v>
      </c>
      <c r="H16" s="32" t="str">
        <f>IF(AND(B16=50,C16=30,D16=8,E16=5,F16=4,G16=3),"通过","检查")</f>
        <v>通过</v>
      </c>
    </row>
    <row r="17">
      <c r="A17" s="33" t="str">
        <v>计算机组成原理</v>
      </c>
      <c r="B17" s="33" t="n">
        <f>COUNTIF('来源审查'!$B$2:$B$351,"co")</f>
        <v>50</v>
      </c>
      <c r="C17" s="33" t="n">
        <f>COUNTIFS('来源审查'!$B$2:$B$351,"co",'来源审查'!$C$2:$C$351,"single")</f>
        <v>30</v>
      </c>
      <c r="D17" s="33" t="n">
        <f>COUNTIFS('来源审查'!$B$2:$B$351,"co",'来源审查'!$C$2:$C$351,"multiple")</f>
        <v>8</v>
      </c>
      <c r="E17" s="33" t="n">
        <f>COUNTIFS('来源审查'!$B$2:$B$351,"co",'来源审查'!$C$2:$C$351,"judge")</f>
        <v>5</v>
      </c>
      <c r="F17" s="33" t="n">
        <f>COUNTIFS('来源审查'!$B$2:$B$351,"co",'来源审查'!$C$2:$C$351,"fill_blank")</f>
        <v>4</v>
      </c>
      <c r="G17" s="33" t="n">
        <f>COUNTIFS('来源审查'!$B$2:$B$351,"co",'来源审查'!$C$2:$C$351,"short_answer")</f>
        <v>3</v>
      </c>
      <c r="H17" s="33" t="str">
        <f>IF(AND(B17=50,C17=30,D17=8,E17=5,F17=4,G17=3),"通过","检查")</f>
        <v>通过</v>
      </c>
    </row>
    <row r="18">
      <c r="A18" s="21"/>
      <c r="B18" s="21"/>
      <c r="C18" s="21"/>
      <c r="D18" s="21"/>
      <c r="E18" s="21"/>
      <c r="F18" s="21"/>
      <c r="G18" s="21"/>
      <c r="H18" s="21"/>
    </row>
    <row r="19">
      <c r="A19" s="21"/>
      <c r="B19" s="21"/>
      <c r="C19" s="21"/>
      <c r="D19" s="21"/>
      <c r="E19" s="21"/>
      <c r="F19" s="21"/>
      <c r="G19" s="21"/>
      <c r="H19" s="21"/>
    </row>
    <row r="20">
      <c r="A20" s="35" t="str">
        <v>发布前阻断项</v>
      </c>
      <c r="B20" s="35" t="str">
        <v>题数不等于 350</v>
      </c>
      <c r="C20" s="35" t="str">
        <v>复核未全量通过</v>
      </c>
      <c r="D20" s="35" t="str">
        <v>外部题号重复</v>
      </c>
      <c r="E20" s="35" t="str">
        <v>题干重复/高近似</v>
      </c>
      <c r="F20" s="35" t="str">
        <v>答案结构错误</v>
      </c>
      <c r="G20" s="35" t="str">
        <v>章节无效</v>
      </c>
      <c r="H20" s="35" t="str">
        <v>来源未登记</v>
      </c>
    </row>
    <row r="21">
      <c r="A21" s="21" t="str">
        <v>当前结果</v>
      </c>
      <c r="B21" s="21" t="str">
        <v>通过</v>
      </c>
      <c r="C21" s="21" t="str">
        <v>通过</v>
      </c>
      <c r="D21" s="21" t="str">
        <v>由自动校验确认</v>
      </c>
      <c r="E21" s="21" t="str">
        <v>由自动校验确认</v>
      </c>
      <c r="F21" s="21" t="str">
        <v>由自动校验确认</v>
      </c>
      <c r="G21" s="21" t="str">
        <v>由导入器确认</v>
      </c>
      <c r="H21" s="21" t="str">
        <v>由自动校验确认</v>
      </c>
    </row>
    <row r="22">
      <c r="A22" s="21" t="str">
        <v>版权策略</v>
      </c>
      <c r="B22" s="21" t="str">
        <v>原创中文表达</v>
      </c>
      <c r="C22" s="21" t="str">
        <v>不复制现成题库</v>
      </c>
      <c r="D22" s="21" t="str">
        <v>规范只作事实依据</v>
      </c>
      <c r="E22" s="21" t="str">
        <v>逐题来源锚点</v>
      </c>
      <c r="F22" s="21" t="str">
        <v>不含来源图片</v>
      </c>
      <c r="G22" s="21" t="str">
        <v>不含来源示例代码</v>
      </c>
      <c r="H22" s="21" t="str">
        <v>来源清单永久留档</v>
      </c>
    </row>
    <row r="23">
      <c r="A23" s="31" t="str">
        <v>上线策略</v>
      </c>
      <c r="B23" s="31" t="str">
        <v>先备份生产 MySQL</v>
      </c>
      <c r="C23" s="31" t="str">
        <v>先部署兼容迁移</v>
      </c>
      <c r="D23" s="31" t="str">
        <v>上传暂存</v>
      </c>
      <c r="E23" s="31" t="str">
        <v>独立复核</v>
      </c>
      <c r="F23" s="31" t="str">
        <v>原子发布</v>
      </c>
      <c r="G23" s="31" t="str">
        <v>发布后自检</v>
      </c>
      <c r="H23" s="31" t="str">
        <v>保留回滚基线</v>
      </c>
    </row>
  </sheetData>
  <mergeCells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7" hidden="0" customWidth="1"/>
    <col min="2" max="2" width="12" hidden="0" customWidth="1"/>
    <col min="3" max="3" width="14" hidden="0" customWidth="1"/>
    <col min="4" max="4" width="34" hidden="0" customWidth="1"/>
    <col min="5" max="5" width="36" hidden="0" customWidth="1"/>
    <col min="6" max="6" width="20" hidden="0" customWidth="1"/>
    <col min="7" max="7" width="64" hidden="0" customWidth="1"/>
    <col min="8" max="8" width="22" hidden="0" customWidth="1"/>
    <col min="9" max="9" width="22" hidden="0" customWidth="1"/>
    <col min="10" max="10" width="14" hidden="0" customWidth="1"/>
    <col min="11" max="11" width="14" hidden="0" customWidth="1"/>
    <col min="12" max="12" width="16" hidden="0" customWidth="1"/>
    <col min="13" max="13" width="16" hidden="0" customWidth="1"/>
  </cols>
  <sheetData>
    <row r="1" ht="30" customHeight="1">
      <c r="A1" s="19" t="str">
        <v>external_code</v>
      </c>
      <c r="B1" s="19" t="str">
        <v>subject_id</v>
      </c>
      <c r="C1" s="19" t="str">
        <v>type</v>
      </c>
      <c r="D1" s="19" t="str">
        <v>source_ids</v>
      </c>
      <c r="E1" s="19" t="str">
        <v>source_anchors</v>
      </c>
      <c r="F1" s="19" t="str">
        <v>dialect_or_scope</v>
      </c>
      <c r="G1" s="19" t="str">
        <v>atomic_fact</v>
      </c>
      <c r="H1" s="19" t="str">
        <v>authored_by</v>
      </c>
      <c r="I1" s="19" t="str">
        <v>reviewed_by</v>
      </c>
      <c r="J1" s="19" t="str">
        <v>fact_checked</v>
      </c>
      <c r="K1" s="19" t="str">
        <v>answer_checked</v>
      </c>
      <c r="L1" s="19" t="str">
        <v>copyright_checked</v>
      </c>
      <c r="M1" s="20" t="str">
        <v>duplicate_checked</v>
      </c>
    </row>
    <row r="2">
      <c r="A2" s="9" t="str">
        <v>WEB-20260717-CPP-001</v>
      </c>
      <c r="B2" s="9" t="str">
        <v>cpp</v>
      </c>
      <c r="C2" s="9" t="str">
        <v>single</v>
      </c>
      <c r="D2" s="9" t="str">
        <v>wg14-n1570</v>
      </c>
      <c r="E2" s="9" t="str">
        <v>6.5.5</v>
      </c>
      <c r="F2" s="9" t="str">
        <v>c11</v>
      </c>
      <c r="G2" s="9" t="str">
        <v>整数除法的商向零截断，所以结果为 -2</v>
      </c>
      <c r="H2" s="9" t="str">
        <v>sources_cpp_linux</v>
      </c>
      <c r="I2" s="9" t="str">
        <v>sources_core_cs</v>
      </c>
      <c r="J2" s="9" t="str">
        <v>通过</v>
      </c>
      <c r="K2" s="9" t="str">
        <v>通过</v>
      </c>
      <c r="L2" s="9" t="str">
        <v>通过</v>
      </c>
      <c r="M2" s="10" t="str">
        <v>通过</v>
      </c>
    </row>
    <row r="3">
      <c r="A3" s="9" t="str">
        <v>WEB-20260717-CPP-002</v>
      </c>
      <c r="B3" s="9" t="str">
        <v>cpp</v>
      </c>
      <c r="C3" s="9" t="str">
        <v>single</v>
      </c>
      <c r="D3" s="9" t="str">
        <v>wg14-n1570</v>
      </c>
      <c r="E3" s="9" t="str">
        <v>6.5.1.1</v>
      </c>
      <c r="F3" s="9" t="str">
        <v>c11</v>
      </c>
      <c r="G3" s="9" t="str">
        <v>控制表达式用于类型匹配而不求值，只有被选结果参与后续求值</v>
      </c>
      <c r="H3" s="9" t="str">
        <v>sources_cpp_linux</v>
      </c>
      <c r="I3" s="9" t="str">
        <v>sources_core_cs</v>
      </c>
      <c r="J3" s="9" t="str">
        <v>通过</v>
      </c>
      <c r="K3" s="9" t="str">
        <v>通过</v>
      </c>
      <c r="L3" s="9" t="str">
        <v>通过</v>
      </c>
      <c r="M3" s="10" t="str">
        <v>通过</v>
      </c>
    </row>
    <row r="4">
      <c r="A4" s="9" t="str">
        <v>WEB-20260717-CPP-003</v>
      </c>
      <c r="B4" s="9" t="str">
        <v>cpp</v>
      </c>
      <c r="C4" s="9" t="str">
        <v>single</v>
      </c>
      <c r="D4" s="9" t="str">
        <v>wg14-n3096</v>
      </c>
      <c r="E4" s="9" t="str">
        <v>6.5.3.4|5.2.4.2.1</v>
      </c>
      <c r="F4" s="9" t="str">
        <v>c23</v>
      </c>
      <c r="G4" s="9" t="str">
        <v>字符类型大小为一个字节，但每字节位数由 CHAR_BIT 描述</v>
      </c>
      <c r="H4" s="9" t="str">
        <v>sources_cpp_linux</v>
      </c>
      <c r="I4" s="9" t="str">
        <v>sources_core_cs</v>
      </c>
      <c r="J4" s="9" t="str">
        <v>通过</v>
      </c>
      <c r="K4" s="9" t="str">
        <v>通过</v>
      </c>
      <c r="L4" s="9" t="str">
        <v>通过</v>
      </c>
      <c r="M4" s="10" t="str">
        <v>通过</v>
      </c>
    </row>
    <row r="5">
      <c r="A5" s="9" t="str">
        <v>WEB-20260717-CPP-004</v>
      </c>
      <c r="B5" s="9" t="str">
        <v>cpp</v>
      </c>
      <c r="C5" s="9" t="str">
        <v>single</v>
      </c>
      <c r="D5" s="9" t="str">
        <v>wg14-n3096</v>
      </c>
      <c r="E5" s="9" t="str">
        <v>6.2.5</v>
      </c>
      <c r="F5" s="9" t="str">
        <v>c23</v>
      </c>
      <c r="G5" s="9" t="str">
        <v>无符号算术按该类型可表示值数量取模</v>
      </c>
      <c r="H5" s="9" t="str">
        <v>sources_cpp_linux</v>
      </c>
      <c r="I5" s="9" t="str">
        <v>sources_core_cs</v>
      </c>
      <c r="J5" s="9" t="str">
        <v>通过</v>
      </c>
      <c r="K5" s="9" t="str">
        <v>通过</v>
      </c>
      <c r="L5" s="9" t="str">
        <v>通过</v>
      </c>
      <c r="M5" s="10" t="str">
        <v>通过</v>
      </c>
    </row>
    <row r="6">
      <c r="A6" s="9" t="str">
        <v>WEB-20260717-CPP-005</v>
      </c>
      <c r="B6" s="9" t="str">
        <v>cpp</v>
      </c>
      <c r="C6" s="9" t="str">
        <v>single</v>
      </c>
      <c r="D6" s="9" t="str">
        <v>wg14-n3096</v>
      </c>
      <c r="E6" s="9" t="str">
        <v>6.2.5</v>
      </c>
      <c r="F6" s="9" t="str">
        <v>c23</v>
      </c>
      <c r="G6" s="9" t="str">
        <v>三种字符类型彼此不同，普通 char 的有符号性由实现选择</v>
      </c>
      <c r="H6" s="9" t="str">
        <v>sources_cpp_linux</v>
      </c>
      <c r="I6" s="9" t="str">
        <v>sources_core_cs</v>
      </c>
      <c r="J6" s="9" t="str">
        <v>通过</v>
      </c>
      <c r="K6" s="9" t="str">
        <v>通过</v>
      </c>
      <c r="L6" s="9" t="str">
        <v>通过</v>
      </c>
      <c r="M6" s="10" t="str">
        <v>通过</v>
      </c>
    </row>
    <row r="7">
      <c r="A7" s="9" t="str">
        <v>WEB-20260717-CPP-006</v>
      </c>
      <c r="B7" s="9" t="str">
        <v>cpp</v>
      </c>
      <c r="C7" s="9" t="str">
        <v>single</v>
      </c>
      <c r="D7" s="9" t="str">
        <v>wg14-n1570</v>
      </c>
      <c r="E7" s="9" t="str">
        <v>6.8.4.2</v>
      </c>
      <c r="F7" s="9" t="str">
        <v>c11</v>
      </c>
      <c r="G7" s="9" t="str">
        <v>同一 switch 中各 case 常量转换后的值必须互不相同</v>
      </c>
      <c r="H7" s="9" t="str">
        <v>sources_cpp_linux</v>
      </c>
      <c r="I7" s="9" t="str">
        <v>sources_core_cs</v>
      </c>
      <c r="J7" s="9" t="str">
        <v>通过</v>
      </c>
      <c r="K7" s="9" t="str">
        <v>通过</v>
      </c>
      <c r="L7" s="9" t="str">
        <v>通过</v>
      </c>
      <c r="M7" s="10" t="str">
        <v>通过</v>
      </c>
    </row>
    <row r="8">
      <c r="A8" s="9" t="str">
        <v>WEB-20260717-CPP-007</v>
      </c>
      <c r="B8" s="9" t="str">
        <v>cpp</v>
      </c>
      <c r="C8" s="9" t="str">
        <v>single</v>
      </c>
      <c r="D8" s="9" t="str">
        <v>wg21-n4950</v>
      </c>
      <c r="E8" s="9" t="str">
        <v>dcl.fct.default</v>
      </c>
      <c r="F8" s="9" t="str">
        <v>cpp23</v>
      </c>
      <c r="G8" s="9" t="str">
        <v>默认实参在调用点根据可见声明组合确定</v>
      </c>
      <c r="H8" s="9" t="str">
        <v>sources_cpp_linux</v>
      </c>
      <c r="I8" s="9" t="str">
        <v>sources_core_cs</v>
      </c>
      <c r="J8" s="9" t="str">
        <v>通过</v>
      </c>
      <c r="K8" s="9" t="str">
        <v>通过</v>
      </c>
      <c r="L8" s="9" t="str">
        <v>通过</v>
      </c>
      <c r="M8" s="10" t="str">
        <v>通过</v>
      </c>
    </row>
    <row r="9">
      <c r="A9" s="9" t="str">
        <v>WEB-20260717-CPP-008</v>
      </c>
      <c r="B9" s="9" t="str">
        <v>cpp</v>
      </c>
      <c r="C9" s="9" t="str">
        <v>single</v>
      </c>
      <c r="D9" s="9" t="str">
        <v>wg21-n4950</v>
      </c>
      <c r="E9" s="9" t="str">
        <v>expr.add|basic.compound</v>
      </c>
      <c r="F9" s="9" t="str">
        <v>cpp23</v>
      </c>
      <c r="G9" s="9" t="str">
        <v>标准允许形成数组尾后指针作为范围终点，但不得解引用</v>
      </c>
      <c r="H9" s="9" t="str">
        <v>sources_cpp_linux</v>
      </c>
      <c r="I9" s="9" t="str">
        <v>sources_core_cs</v>
      </c>
      <c r="J9" s="9" t="str">
        <v>通过</v>
      </c>
      <c r="K9" s="9" t="str">
        <v>通过</v>
      </c>
      <c r="L9" s="9" t="str">
        <v>通过</v>
      </c>
      <c r="M9" s="10" t="str">
        <v>通过</v>
      </c>
    </row>
    <row r="10">
      <c r="A10" s="9" t="str">
        <v>WEB-20260717-CPP-009</v>
      </c>
      <c r="B10" s="9" t="str">
        <v>cpp</v>
      </c>
      <c r="C10" s="9" t="str">
        <v>single</v>
      </c>
      <c r="D10" s="9" t="str">
        <v>wg14-n3096</v>
      </c>
      <c r="E10" s="9" t="str">
        <v>7.26.2.2|7.26.2.3</v>
      </c>
      <c r="F10" s="9" t="str">
        <v>c23</v>
      </c>
      <c r="G10" s="9" t="str">
        <v>memmove 支持重叠区域，而 memcpy 对重叠源目标没有定义结果</v>
      </c>
      <c r="H10" s="9" t="str">
        <v>sources_cpp_linux</v>
      </c>
      <c r="I10" s="9" t="str">
        <v>sources_core_cs</v>
      </c>
      <c r="J10" s="9" t="str">
        <v>通过</v>
      </c>
      <c r="K10" s="9" t="str">
        <v>通过</v>
      </c>
      <c r="L10" s="9" t="str">
        <v>通过</v>
      </c>
      <c r="M10" s="10" t="str">
        <v>通过</v>
      </c>
    </row>
    <row r="11">
      <c r="A11" s="9" t="str">
        <v>WEB-20260717-CPP-010</v>
      </c>
      <c r="B11" s="9" t="str">
        <v>cpp</v>
      </c>
      <c r="C11" s="9" t="str">
        <v>single</v>
      </c>
      <c r="D11" s="9" t="str">
        <v>wg14-n1570</v>
      </c>
      <c r="E11" s="9" t="str">
        <v>6.5.3.4</v>
      </c>
      <c r="F11" s="9" t="str">
        <v>c11</v>
      </c>
      <c r="G11" s="9" t="str">
        <v>变长数组的大小可能需要运行期求得，不能套用普通不求值口诀</v>
      </c>
      <c r="H11" s="9" t="str">
        <v>sources_cpp_linux</v>
      </c>
      <c r="I11" s="9" t="str">
        <v>sources_core_cs</v>
      </c>
      <c r="J11" s="9" t="str">
        <v>通过</v>
      </c>
      <c r="K11" s="9" t="str">
        <v>通过</v>
      </c>
      <c r="L11" s="9" t="str">
        <v>通过</v>
      </c>
      <c r="M11" s="10" t="str">
        <v>通过</v>
      </c>
    </row>
    <row r="12">
      <c r="A12" s="9" t="str">
        <v>WEB-20260717-CPP-011</v>
      </c>
      <c r="B12" s="9" t="str">
        <v>cpp</v>
      </c>
      <c r="C12" s="9" t="str">
        <v>single</v>
      </c>
      <c r="D12" s="9" t="str">
        <v>wg14-n3096</v>
      </c>
      <c r="E12" s="9" t="str">
        <v>7.24.3.2</v>
      </c>
      <c r="F12" s="9" t="str">
        <v>c23</v>
      </c>
      <c r="G12" s="9" t="str">
        <v>calloc 将存储的所有位清零，但零位模式不等于任意类型语义值</v>
      </c>
      <c r="H12" s="9" t="str">
        <v>sources_cpp_linux</v>
      </c>
      <c r="I12" s="9" t="str">
        <v>sources_core_cs</v>
      </c>
      <c r="J12" s="9" t="str">
        <v>通过</v>
      </c>
      <c r="K12" s="9" t="str">
        <v>通过</v>
      </c>
      <c r="L12" s="9" t="str">
        <v>通过</v>
      </c>
      <c r="M12" s="10" t="str">
        <v>通过</v>
      </c>
    </row>
    <row r="13">
      <c r="A13" s="9" t="str">
        <v>WEB-20260717-CPP-012</v>
      </c>
      <c r="B13" s="9" t="str">
        <v>cpp</v>
      </c>
      <c r="C13" s="9" t="str">
        <v>single</v>
      </c>
      <c r="D13" s="9" t="str">
        <v>wg14-n3096</v>
      </c>
      <c r="E13" s="9" t="str">
        <v>7.24.3.3</v>
      </c>
      <c r="F13" s="9" t="str">
        <v>c23</v>
      </c>
      <c r="G13" s="9" t="str">
        <v>重复释放没有标准结果，释放后应立即终止该所有权路径</v>
      </c>
      <c r="H13" s="9" t="str">
        <v>sources_cpp_linux</v>
      </c>
      <c r="I13" s="9" t="str">
        <v>sources_core_cs</v>
      </c>
      <c r="J13" s="9" t="str">
        <v>通过</v>
      </c>
      <c r="K13" s="9" t="str">
        <v>通过</v>
      </c>
      <c r="L13" s="9" t="str">
        <v>通过</v>
      </c>
      <c r="M13" s="10" t="str">
        <v>通过</v>
      </c>
    </row>
    <row r="14">
      <c r="A14" s="9" t="str">
        <v>WEB-20260717-CPP-013</v>
      </c>
      <c r="B14" s="9" t="str">
        <v>cpp</v>
      </c>
      <c r="C14" s="9" t="str">
        <v>single</v>
      </c>
      <c r="D14" s="9" t="str">
        <v>wg21-n4950</v>
      </c>
      <c r="E14" s="9" t="str">
        <v>expr.delete</v>
      </c>
      <c r="F14" s="9" t="str">
        <v>cpp23</v>
      </c>
      <c r="G14" s="9" t="str">
        <v>delete 空指针不销毁对象也不造成错误，无需额外判空</v>
      </c>
      <c r="H14" s="9" t="str">
        <v>sources_cpp_linux</v>
      </c>
      <c r="I14" s="9" t="str">
        <v>sources_core_cs</v>
      </c>
      <c r="J14" s="9" t="str">
        <v>通过</v>
      </c>
      <c r="K14" s="9" t="str">
        <v>通过</v>
      </c>
      <c r="L14" s="9" t="str">
        <v>通过</v>
      </c>
      <c r="M14" s="10" t="str">
        <v>通过</v>
      </c>
    </row>
    <row r="15">
      <c r="A15" s="9" t="str">
        <v>WEB-20260717-CPP-014</v>
      </c>
      <c r="B15" s="9" t="str">
        <v>cpp</v>
      </c>
      <c r="C15" s="9" t="str">
        <v>single</v>
      </c>
      <c r="D15" s="9" t="str">
        <v>wg14-n3096</v>
      </c>
      <c r="E15" s="9" t="str">
        <v>6.10.5</v>
      </c>
      <c r="F15" s="9" t="str">
        <v>c23</v>
      </c>
      <c r="G15" s="9" t="str">
        <v>紧邻字符串化运算符的参数不会预先宏展开</v>
      </c>
      <c r="H15" s="9" t="str">
        <v>sources_cpp_linux</v>
      </c>
      <c r="I15" s="9" t="str">
        <v>sources_core_cs</v>
      </c>
      <c r="J15" s="9" t="str">
        <v>通过</v>
      </c>
      <c r="K15" s="9" t="str">
        <v>通过</v>
      </c>
      <c r="L15" s="9" t="str">
        <v>通过</v>
      </c>
      <c r="M15" s="10" t="str">
        <v>通过</v>
      </c>
    </row>
    <row r="16">
      <c r="A16" s="9" t="str">
        <v>WEB-20260717-CPP-015</v>
      </c>
      <c r="B16" s="9" t="str">
        <v>cpp</v>
      </c>
      <c r="C16" s="9" t="str">
        <v>single</v>
      </c>
      <c r="D16" s="9" t="str">
        <v>wg14-n1570</v>
      </c>
      <c r="E16" s="9" t="str">
        <v>6.2.2|6.9.1</v>
      </c>
      <c r="F16" s="9" t="str">
        <v>c11</v>
      </c>
      <c r="G16" s="9" t="str">
        <v>文件作用域 static 函数名称只在当前翻译单元具有内部链接</v>
      </c>
      <c r="H16" s="9" t="str">
        <v>sources_cpp_linux</v>
      </c>
      <c r="I16" s="9" t="str">
        <v>sources_core_cs</v>
      </c>
      <c r="J16" s="9" t="str">
        <v>通过</v>
      </c>
      <c r="K16" s="9" t="str">
        <v>通过</v>
      </c>
      <c r="L16" s="9" t="str">
        <v>通过</v>
      </c>
      <c r="M16" s="10" t="str">
        <v>通过</v>
      </c>
    </row>
    <row r="17">
      <c r="A17" s="9" t="str">
        <v>WEB-20260717-CPP-016</v>
      </c>
      <c r="B17" s="9" t="str">
        <v>cpp</v>
      </c>
      <c r="C17" s="9" t="str">
        <v>single</v>
      </c>
      <c r="D17" s="9" t="str">
        <v>wg14-n3096</v>
      </c>
      <c r="E17" s="9" t="str">
        <v>6.7.3.2</v>
      </c>
      <c r="F17" s="9" t="str">
        <v>c23</v>
      </c>
      <c r="G17" s="9" t="str">
        <v>柔性数组成员必须位于结构体末尾且前面存在至少一个具名成员</v>
      </c>
      <c r="H17" s="9" t="str">
        <v>sources_cpp_linux</v>
      </c>
      <c r="I17" s="9" t="str">
        <v>sources_core_cs</v>
      </c>
      <c r="J17" s="9" t="str">
        <v>通过</v>
      </c>
      <c r="K17" s="9" t="str">
        <v>通过</v>
      </c>
      <c r="L17" s="9" t="str">
        <v>通过</v>
      </c>
      <c r="M17" s="10" t="str">
        <v>通过</v>
      </c>
    </row>
    <row r="18">
      <c r="A18" s="9" t="str">
        <v>WEB-20260717-CPP-017</v>
      </c>
      <c r="B18" s="9" t="str">
        <v>cpp</v>
      </c>
      <c r="C18" s="9" t="str">
        <v>single</v>
      </c>
      <c r="D18" s="9" t="str">
        <v>wg14-n3096</v>
      </c>
      <c r="E18" s="9" t="str">
        <v>7.23.5.3</v>
      </c>
      <c r="F18" s="9" t="str">
        <v>c23</v>
      </c>
      <c r="G18" s="9" t="str">
        <v>追加模式保证写入定位于文件末尾，不能当作普通读写位置</v>
      </c>
      <c r="H18" s="9" t="str">
        <v>sources_cpp_linux</v>
      </c>
      <c r="I18" s="9" t="str">
        <v>sources_core_cs</v>
      </c>
      <c r="J18" s="9" t="str">
        <v>通过</v>
      </c>
      <c r="K18" s="9" t="str">
        <v>通过</v>
      </c>
      <c r="L18" s="9" t="str">
        <v>通过</v>
      </c>
      <c r="M18" s="10" t="str">
        <v>通过</v>
      </c>
    </row>
    <row r="19">
      <c r="A19" s="9" t="str">
        <v>WEB-20260717-CPP-018</v>
      </c>
      <c r="B19" s="9" t="str">
        <v>cpp</v>
      </c>
      <c r="C19" s="9" t="str">
        <v>single</v>
      </c>
      <c r="D19" s="9" t="str">
        <v>wg21-n4950</v>
      </c>
      <c r="E19" s="9" t="str">
        <v>dcl.ref|expr.ass</v>
      </c>
      <c r="F19" s="9" t="str">
        <v>cpp23</v>
      </c>
      <c r="G19" s="9" t="str">
        <v>引用不能重新绑定，赋值会修改最初绑定的对象</v>
      </c>
      <c r="H19" s="9" t="str">
        <v>sources_cpp_linux</v>
      </c>
      <c r="I19" s="9" t="str">
        <v>sources_core_cs</v>
      </c>
      <c r="J19" s="9" t="str">
        <v>通过</v>
      </c>
      <c r="K19" s="9" t="str">
        <v>通过</v>
      </c>
      <c r="L19" s="9" t="str">
        <v>通过</v>
      </c>
      <c r="M19" s="10" t="str">
        <v>通过</v>
      </c>
    </row>
    <row r="20">
      <c r="A20" s="9" t="str">
        <v>WEB-20260717-CPP-019</v>
      </c>
      <c r="B20" s="9" t="str">
        <v>cpp</v>
      </c>
      <c r="C20" s="9" t="str">
        <v>single</v>
      </c>
      <c r="D20" s="9" t="str">
        <v>wg21-n4950</v>
      </c>
      <c r="E20" s="9" t="str">
        <v>class.temporary</v>
      </c>
      <c r="F20" s="9" t="str">
        <v>cpp23</v>
      </c>
      <c r="G20" s="9" t="str">
        <v>直接绑定可把临时对象生命周期延长至该局部引用结束</v>
      </c>
      <c r="H20" s="9" t="str">
        <v>sources_cpp_linux</v>
      </c>
      <c r="I20" s="9" t="str">
        <v>sources_core_cs</v>
      </c>
      <c r="J20" s="9" t="str">
        <v>通过</v>
      </c>
      <c r="K20" s="9" t="str">
        <v>通过</v>
      </c>
      <c r="L20" s="9" t="str">
        <v>通过</v>
      </c>
      <c r="M20" s="10" t="str">
        <v>通过</v>
      </c>
    </row>
    <row r="21">
      <c r="A21" s="9" t="str">
        <v>WEB-20260717-CPP-020</v>
      </c>
      <c r="B21" s="9" t="str">
        <v>cpp</v>
      </c>
      <c r="C21" s="9" t="str">
        <v>single</v>
      </c>
      <c r="D21" s="9" t="str">
        <v>wg21-n4950</v>
      </c>
      <c r="E21" s="9" t="str">
        <v>forward</v>
      </c>
      <c r="F21" s="9" t="str">
        <v>cpp23</v>
      </c>
      <c r="G21" s="9" t="str">
        <v>std::move 只做值类别转换，真正资源转移取决于后续操作</v>
      </c>
      <c r="H21" s="9" t="str">
        <v>sources_cpp_linux</v>
      </c>
      <c r="I21" s="9" t="str">
        <v>sources_core_cs</v>
      </c>
      <c r="J21" s="9" t="str">
        <v>通过</v>
      </c>
      <c r="K21" s="9" t="str">
        <v>通过</v>
      </c>
      <c r="L21" s="9" t="str">
        <v>通过</v>
      </c>
      <c r="M21" s="10" t="str">
        <v>通过</v>
      </c>
    </row>
    <row r="22">
      <c r="A22" s="9" t="str">
        <v>WEB-20260717-CPP-021</v>
      </c>
      <c r="B22" s="9" t="str">
        <v>cpp</v>
      </c>
      <c r="C22" s="9" t="str">
        <v>single</v>
      </c>
      <c r="D22" s="9" t="str">
        <v>wg21-n4950</v>
      </c>
      <c r="E22" s="9" t="str">
        <v>class.cdtor</v>
      </c>
      <c r="F22" s="9" t="str">
        <v>cpp23</v>
      </c>
      <c r="G22" s="9" t="str">
        <v>构造期间虚调用不会进入尚未完成构造的派生层</v>
      </c>
      <c r="H22" s="9" t="str">
        <v>sources_cpp_linux</v>
      </c>
      <c r="I22" s="9" t="str">
        <v>sources_core_cs</v>
      </c>
      <c r="J22" s="9" t="str">
        <v>通过</v>
      </c>
      <c r="K22" s="9" t="str">
        <v>通过</v>
      </c>
      <c r="L22" s="9" t="str">
        <v>通过</v>
      </c>
      <c r="M22" s="10" t="str">
        <v>通过</v>
      </c>
    </row>
    <row r="23">
      <c r="A23" s="9" t="str">
        <v>WEB-20260717-CPP-022</v>
      </c>
      <c r="B23" s="9" t="str">
        <v>cpp</v>
      </c>
      <c r="C23" s="9" t="str">
        <v>single</v>
      </c>
      <c r="D23" s="9" t="str">
        <v>wg21-n4950</v>
      </c>
      <c r="E23" s="9" t="str">
        <v>class.copy.ctor|unique.ptr</v>
      </c>
      <c r="F23" s="9" t="str">
        <v>cpp23</v>
      </c>
      <c r="G23" s="9" t="str">
        <v>不可复制成员会使宿主类的隐式复制构造函数被删除</v>
      </c>
      <c r="H23" s="9" t="str">
        <v>sources_cpp_linux</v>
      </c>
      <c r="I23" s="9" t="str">
        <v>sources_core_cs</v>
      </c>
      <c r="J23" s="9" t="str">
        <v>通过</v>
      </c>
      <c r="K23" s="9" t="str">
        <v>通过</v>
      </c>
      <c r="L23" s="9" t="str">
        <v>通过</v>
      </c>
      <c r="M23" s="10" t="str">
        <v>通过</v>
      </c>
    </row>
    <row r="24">
      <c r="A24" s="9" t="str">
        <v>WEB-20260717-CPP-023</v>
      </c>
      <c r="B24" s="9" t="str">
        <v>cpp</v>
      </c>
      <c r="C24" s="9" t="str">
        <v>single</v>
      </c>
      <c r="D24" s="9" t="str">
        <v>wg21-n4950</v>
      </c>
      <c r="E24" s="9" t="str">
        <v>expr.delete|class.dtor</v>
      </c>
      <c r="F24" s="9" t="str">
        <v>cpp23</v>
      </c>
      <c r="G24" s="9" t="str">
        <v>多态删除需要虚析构启动完整动态类型销毁链</v>
      </c>
      <c r="H24" s="9" t="str">
        <v>sources_cpp_linux</v>
      </c>
      <c r="I24" s="9" t="str">
        <v>sources_core_cs</v>
      </c>
      <c r="J24" s="9" t="str">
        <v>通过</v>
      </c>
      <c r="K24" s="9" t="str">
        <v>通过</v>
      </c>
      <c r="L24" s="9" t="str">
        <v>通过</v>
      </c>
      <c r="M24" s="10" t="str">
        <v>通过</v>
      </c>
    </row>
    <row r="25">
      <c r="A25" s="9" t="str">
        <v>WEB-20260717-CPP-024</v>
      </c>
      <c r="B25" s="9" t="str">
        <v>cpp</v>
      </c>
      <c r="C25" s="9" t="str">
        <v>single</v>
      </c>
      <c r="D25" s="9" t="str">
        <v>wg21-n4950</v>
      </c>
      <c r="E25" s="9" t="str">
        <v>class.dtor|class.abstract</v>
      </c>
      <c r="F25" s="9" t="str">
        <v>cpp23</v>
      </c>
      <c r="G25" s="9" t="str">
        <v>纯虚只保持类抽象，析构链仍需要可调用的析构定义</v>
      </c>
      <c r="H25" s="9" t="str">
        <v>sources_cpp_linux</v>
      </c>
      <c r="I25" s="9" t="str">
        <v>sources_core_cs</v>
      </c>
      <c r="J25" s="9" t="str">
        <v>通过</v>
      </c>
      <c r="K25" s="9" t="str">
        <v>通过</v>
      </c>
      <c r="L25" s="9" t="str">
        <v>通过</v>
      </c>
      <c r="M25" s="10" t="str">
        <v>通过</v>
      </c>
    </row>
    <row r="26">
      <c r="A26" s="9" t="str">
        <v>WEB-20260717-CPP-025</v>
      </c>
      <c r="B26" s="9" t="str">
        <v>cpp</v>
      </c>
      <c r="C26" s="9" t="str">
        <v>single</v>
      </c>
      <c r="D26" s="9" t="str">
        <v>wg21-n4950</v>
      </c>
      <c r="E26" s="9" t="str">
        <v>expr.dynamic.cast</v>
      </c>
      <c r="F26" s="9" t="str">
        <v>cpp23</v>
      </c>
      <c r="G26" s="9" t="str">
        <v>引用转换失败抛 bad_cast，指针转换失败才返回空指针</v>
      </c>
      <c r="H26" s="9" t="str">
        <v>sources_cpp_linux</v>
      </c>
      <c r="I26" s="9" t="str">
        <v>sources_core_cs</v>
      </c>
      <c r="J26" s="9" t="str">
        <v>通过</v>
      </c>
      <c r="K26" s="9" t="str">
        <v>通过</v>
      </c>
      <c r="L26" s="9" t="str">
        <v>通过</v>
      </c>
      <c r="M26" s="10" t="str">
        <v>通过</v>
      </c>
    </row>
    <row r="27">
      <c r="A27" s="9" t="str">
        <v>WEB-20260717-CPP-026</v>
      </c>
      <c r="B27" s="9" t="str">
        <v>cpp</v>
      </c>
      <c r="C27" s="9" t="str">
        <v>single</v>
      </c>
      <c r="D27" s="9" t="str">
        <v>wg21-n4950</v>
      </c>
      <c r="E27" s="9" t="str">
        <v>class.mi</v>
      </c>
      <c r="F27" s="9" t="str">
        <v>cpp23</v>
      </c>
      <c r="G27" s="9" t="str">
        <v>多条继承路径共享同一个指定虚基类子对象</v>
      </c>
      <c r="H27" s="9" t="str">
        <v>sources_cpp_linux</v>
      </c>
      <c r="I27" s="9" t="str">
        <v>sources_core_cs</v>
      </c>
      <c r="J27" s="9" t="str">
        <v>通过</v>
      </c>
      <c r="K27" s="9" t="str">
        <v>通过</v>
      </c>
      <c r="L27" s="9" t="str">
        <v>通过</v>
      </c>
      <c r="M27" s="10" t="str">
        <v>通过</v>
      </c>
    </row>
    <row r="28">
      <c r="A28" s="9" t="str">
        <v>WEB-20260717-CPP-027</v>
      </c>
      <c r="B28" s="9" t="str">
        <v>cpp</v>
      </c>
      <c r="C28" s="9" t="str">
        <v>single</v>
      </c>
      <c r="D28" s="9" t="str">
        <v>wg21-n4950</v>
      </c>
      <c r="E28" s="9" t="str">
        <v>temp.spec|temp.fct</v>
      </c>
      <c r="F28" s="9" t="str">
        <v>cpp23</v>
      </c>
      <c r="G28" s="9" t="str">
        <v>函数模板不能偏特化，部分匹配需求通常通过重载表达</v>
      </c>
      <c r="H28" s="9" t="str">
        <v>sources_cpp_linux</v>
      </c>
      <c r="I28" s="9" t="str">
        <v>sources_core_cs</v>
      </c>
      <c r="J28" s="9" t="str">
        <v>通过</v>
      </c>
      <c r="K28" s="9" t="str">
        <v>通过</v>
      </c>
      <c r="L28" s="9" t="str">
        <v>通过</v>
      </c>
      <c r="M28" s="10" t="str">
        <v>通过</v>
      </c>
    </row>
    <row r="29">
      <c r="A29" s="9" t="str">
        <v>WEB-20260717-CPP-028</v>
      </c>
      <c r="B29" s="9" t="str">
        <v>cpp</v>
      </c>
      <c r="C29" s="9" t="str">
        <v>single</v>
      </c>
      <c r="D29" s="9" t="str">
        <v>wg21-n4950</v>
      </c>
      <c r="E29" s="9" t="str">
        <v>temp.res</v>
      </c>
      <c r="F29" s="9" t="str">
        <v>cpp23</v>
      </c>
      <c r="G29" s="9" t="str">
        <v>typename 告知解析器依赖限定名称代表类型</v>
      </c>
      <c r="H29" s="9" t="str">
        <v>sources_cpp_linux</v>
      </c>
      <c r="I29" s="9" t="str">
        <v>sources_core_cs</v>
      </c>
      <c r="J29" s="9" t="str">
        <v>通过</v>
      </c>
      <c r="K29" s="9" t="str">
        <v>通过</v>
      </c>
      <c r="L29" s="9" t="str">
        <v>通过</v>
      </c>
      <c r="M29" s="10" t="str">
        <v>通过</v>
      </c>
    </row>
    <row r="30">
      <c r="A30" s="9" t="str">
        <v>WEB-20260717-CPP-029</v>
      </c>
      <c r="B30" s="9" t="str">
        <v>cpp</v>
      </c>
      <c r="C30" s="9" t="str">
        <v>single</v>
      </c>
      <c r="D30" s="9" t="str">
        <v>wg21-n4950</v>
      </c>
      <c r="E30" s="9" t="str">
        <v>expr.unary.noexcept</v>
      </c>
      <c r="F30" s="9" t="str">
        <v>cpp23</v>
      </c>
      <c r="G30" s="9" t="str">
        <v>noexcept 操作数不求值，结果是描述潜在抛出性的布尔常量</v>
      </c>
      <c r="H30" s="9" t="str">
        <v>sources_cpp_linux</v>
      </c>
      <c r="I30" s="9" t="str">
        <v>sources_core_cs</v>
      </c>
      <c r="J30" s="9" t="str">
        <v>通过</v>
      </c>
      <c r="K30" s="9" t="str">
        <v>通过</v>
      </c>
      <c r="L30" s="9" t="str">
        <v>通过</v>
      </c>
      <c r="M30" s="10" t="str">
        <v>通过</v>
      </c>
    </row>
    <row r="31">
      <c r="A31" s="9" t="str">
        <v>WEB-20260717-CPP-030</v>
      </c>
      <c r="B31" s="9" t="str">
        <v>cpp</v>
      </c>
      <c r="C31" s="9" t="str">
        <v>single</v>
      </c>
      <c r="D31" s="9" t="str">
        <v>wg21-n4950</v>
      </c>
      <c r="E31" s="9" t="str">
        <v>except.ctor</v>
      </c>
      <c r="F31" s="9" t="str">
        <v>cpp23</v>
      </c>
      <c r="G31" s="9" t="str">
        <v>退出作用域的已构造自动对象会按栈展开规则析构</v>
      </c>
      <c r="H31" s="9" t="str">
        <v>sources_cpp_linux</v>
      </c>
      <c r="I31" s="9" t="str">
        <v>sources_core_cs</v>
      </c>
      <c r="J31" s="9" t="str">
        <v>通过</v>
      </c>
      <c r="K31" s="9" t="str">
        <v>通过</v>
      </c>
      <c r="L31" s="9" t="str">
        <v>通过</v>
      </c>
      <c r="M31" s="10" t="str">
        <v>通过</v>
      </c>
    </row>
    <row r="32">
      <c r="A32" s="9" t="str">
        <v>WEB-20260717-CPP-031</v>
      </c>
      <c r="B32" s="9" t="str">
        <v>cpp</v>
      </c>
      <c r="C32" s="9" t="str">
        <v>multiple</v>
      </c>
      <c r="D32" s="9" t="str">
        <v>wg14-n3096|wg21-n4950</v>
      </c>
      <c r="E32" s="9" t="str">
        <v>J.2|intro.compliance</v>
      </c>
      <c r="F32" s="9" t="str">
        <v>c23+cpp23</v>
      </c>
      <c r="G32" s="9" t="str">
        <v>四项都缺少标准结果，不能依据一次运行输出定答案</v>
      </c>
      <c r="H32" s="9" t="str">
        <v>sources_cpp_linux</v>
      </c>
      <c r="I32" s="9" t="str">
        <v>sources_core_cs</v>
      </c>
      <c r="J32" s="9" t="str">
        <v>通过</v>
      </c>
      <c r="K32" s="9" t="str">
        <v>通过</v>
      </c>
      <c r="L32" s="9" t="str">
        <v>通过</v>
      </c>
      <c r="M32" s="10" t="str">
        <v>通过</v>
      </c>
    </row>
    <row r="33">
      <c r="A33" s="9" t="str">
        <v>WEB-20260717-CPP-032</v>
      </c>
      <c r="B33" s="9" t="str">
        <v>cpp</v>
      </c>
      <c r="C33" s="9" t="str">
        <v>multiple</v>
      </c>
      <c r="D33" s="9" t="str">
        <v>wg14-n3096|wg21-n4950</v>
      </c>
      <c r="E33" s="9" t="str">
        <v>6.2.5|basic.fundamental</v>
      </c>
      <c r="F33" s="9" t="str">
        <v>c23+cpp23</v>
      </c>
      <c r="G33" s="9" t="str">
        <v>整数宽度可变，而无符号模运算与字符一字节有明确保证</v>
      </c>
      <c r="H33" s="9" t="str">
        <v>sources_cpp_linux</v>
      </c>
      <c r="I33" s="9" t="str">
        <v>sources_core_cs</v>
      </c>
      <c r="J33" s="9" t="str">
        <v>通过</v>
      </c>
      <c r="K33" s="9" t="str">
        <v>通过</v>
      </c>
      <c r="L33" s="9" t="str">
        <v>通过</v>
      </c>
      <c r="M33" s="10" t="str">
        <v>通过</v>
      </c>
    </row>
    <row r="34">
      <c r="A34" s="9" t="str">
        <v>WEB-20260717-CPP-033</v>
      </c>
      <c r="B34" s="9" t="str">
        <v>cpp</v>
      </c>
      <c r="C34" s="9" t="str">
        <v>multiple</v>
      </c>
      <c r="D34" s="9" t="str">
        <v>wg21-n4950</v>
      </c>
      <c r="E34" s="9" t="str">
        <v>basic.life|class.temporary</v>
      </c>
      <c r="F34" s="9" t="str">
        <v>cpp23</v>
      </c>
      <c r="G34" s="9" t="str">
        <v>存储、对象生命周期和临时延寿是三个不同概念</v>
      </c>
      <c r="H34" s="9" t="str">
        <v>sources_cpp_linux</v>
      </c>
      <c r="I34" s="9" t="str">
        <v>sources_core_cs</v>
      </c>
      <c r="J34" s="9" t="str">
        <v>通过</v>
      </c>
      <c r="K34" s="9" t="str">
        <v>通过</v>
      </c>
      <c r="L34" s="9" t="str">
        <v>通过</v>
      </c>
      <c r="M34" s="10" t="str">
        <v>通过</v>
      </c>
    </row>
    <row r="35">
      <c r="A35" s="9" t="str">
        <v>WEB-20260717-CPP-034</v>
      </c>
      <c r="B35" s="9" t="str">
        <v>cpp</v>
      </c>
      <c r="C35" s="9" t="str">
        <v>multiple</v>
      </c>
      <c r="D35" s="9" t="str">
        <v>wg14-n3096</v>
      </c>
      <c r="E35" s="9" t="str">
        <v>6.10</v>
      </c>
      <c r="F35" s="9" t="str">
        <v>c23</v>
      </c>
      <c r="G35" s="9" t="str">
        <v>括号与单语句外观可减小优先级和控制流陷阱，重复求值应避免</v>
      </c>
      <c r="H35" s="9" t="str">
        <v>sources_cpp_linux</v>
      </c>
      <c r="I35" s="9" t="str">
        <v>sources_core_cs</v>
      </c>
      <c r="J35" s="9" t="str">
        <v>通过</v>
      </c>
      <c r="K35" s="9" t="str">
        <v>通过</v>
      </c>
      <c r="L35" s="9" t="str">
        <v>通过</v>
      </c>
      <c r="M35" s="10" t="str">
        <v>通过</v>
      </c>
    </row>
    <row r="36">
      <c r="A36" s="9" t="str">
        <v>WEB-20260717-CPP-035</v>
      </c>
      <c r="B36" s="9" t="str">
        <v>cpp</v>
      </c>
      <c r="C36" s="9" t="str">
        <v>multiple</v>
      </c>
      <c r="D36" s="9" t="str">
        <v>wg21-n4950</v>
      </c>
      <c r="E36" s="9" t="str">
        <v>class.ctor|class.dtor|except.ctor</v>
      </c>
      <c r="F36" s="9" t="str">
        <v>cpp23</v>
      </c>
      <c r="G36" s="9" t="str">
        <v>RAII 依赖确定性对象生命周期而不要求动态分配</v>
      </c>
      <c r="H36" s="9" t="str">
        <v>sources_cpp_linux</v>
      </c>
      <c r="I36" s="9" t="str">
        <v>sources_core_cs</v>
      </c>
      <c r="J36" s="9" t="str">
        <v>通过</v>
      </c>
      <c r="K36" s="9" t="str">
        <v>通过</v>
      </c>
      <c r="L36" s="9" t="str">
        <v>通过</v>
      </c>
      <c r="M36" s="10" t="str">
        <v>通过</v>
      </c>
    </row>
    <row r="37">
      <c r="A37" s="9" t="str">
        <v>WEB-20260717-CPP-036</v>
      </c>
      <c r="B37" s="9" t="str">
        <v>cpp</v>
      </c>
      <c r="C37" s="9" t="str">
        <v>multiple</v>
      </c>
      <c r="D37" s="9" t="str">
        <v>wg21-n4950</v>
      </c>
      <c r="E37" s="9" t="str">
        <v>class.virtual|expr.dynamic.cast|expr.typeid</v>
      </c>
      <c r="F37" s="9" t="str">
        <v>cpp23</v>
      </c>
      <c r="G37" s="9" t="str">
        <v>虚调用、dynamic_cast 与多态 typeid 会使用动态类型信息</v>
      </c>
      <c r="H37" s="9" t="str">
        <v>sources_cpp_linux</v>
      </c>
      <c r="I37" s="9" t="str">
        <v>sources_core_cs</v>
      </c>
      <c r="J37" s="9" t="str">
        <v>通过</v>
      </c>
      <c r="K37" s="9" t="str">
        <v>通过</v>
      </c>
      <c r="L37" s="9" t="str">
        <v>通过</v>
      </c>
      <c r="M37" s="10" t="str">
        <v>通过</v>
      </c>
    </row>
    <row r="38">
      <c r="A38" s="9" t="str">
        <v>WEB-20260717-CPP-037</v>
      </c>
      <c r="B38" s="9" t="str">
        <v>cpp</v>
      </c>
      <c r="C38" s="9" t="str">
        <v>multiple</v>
      </c>
      <c r="D38" s="9" t="str">
        <v>wg21-n4950</v>
      </c>
      <c r="E38" s="9" t="str">
        <v>temp.spec|temp.res|temp.fct</v>
      </c>
      <c r="F38" s="9" t="str">
        <v>cpp23</v>
      </c>
      <c r="G38" s="9" t="str">
        <v>类模板偏特化与函数模板重载应区分，函数模板不能偏特化</v>
      </c>
      <c r="H38" s="9" t="str">
        <v>sources_cpp_linux</v>
      </c>
      <c r="I38" s="9" t="str">
        <v>sources_core_cs</v>
      </c>
      <c r="J38" s="9" t="str">
        <v>通过</v>
      </c>
      <c r="K38" s="9" t="str">
        <v>通过</v>
      </c>
      <c r="L38" s="9" t="str">
        <v>通过</v>
      </c>
      <c r="M38" s="10" t="str">
        <v>通过</v>
      </c>
    </row>
    <row r="39">
      <c r="A39" s="9" t="str">
        <v>WEB-20260717-CPP-038</v>
      </c>
      <c r="B39" s="9" t="str">
        <v>cpp</v>
      </c>
      <c r="C39" s="9" t="str">
        <v>multiple</v>
      </c>
      <c r="D39" s="9" t="str">
        <v>wg21-n4950</v>
      </c>
      <c r="E39" s="9" t="str">
        <v>except.spec|except.terminate</v>
      </c>
      <c r="F39" s="9" t="str">
        <v>cpp23</v>
      </c>
      <c r="G39" s="9" t="str">
        <v>违反生效的 noexcept 或栈展开出现第二个逃逸异常可终止程序</v>
      </c>
      <c r="H39" s="9" t="str">
        <v>sources_cpp_linux</v>
      </c>
      <c r="I39" s="9" t="str">
        <v>sources_core_cs</v>
      </c>
      <c r="J39" s="9" t="str">
        <v>通过</v>
      </c>
      <c r="K39" s="9" t="str">
        <v>通过</v>
      </c>
      <c r="L39" s="9" t="str">
        <v>通过</v>
      </c>
      <c r="M39" s="10" t="str">
        <v>通过</v>
      </c>
    </row>
    <row r="40">
      <c r="A40" s="9" t="str">
        <v>WEB-20260717-CPP-039</v>
      </c>
      <c r="B40" s="9" t="str">
        <v>cpp</v>
      </c>
      <c r="C40" s="9" t="str">
        <v>judge</v>
      </c>
      <c r="D40" s="9" t="str">
        <v>wg14-n3096</v>
      </c>
      <c r="E40" s="9" t="str">
        <v>6.2.5|6.5</v>
      </c>
      <c r="F40" s="9" t="str">
        <v>c23</v>
      </c>
      <c r="G40" s="9" t="str">
        <v>有符号溢出通常未定义，无符号超范围则按模数回绕</v>
      </c>
      <c r="H40" s="9" t="str">
        <v>sources_cpp_linux</v>
      </c>
      <c r="I40" s="9" t="str">
        <v>sources_core_cs</v>
      </c>
      <c r="J40" s="9" t="str">
        <v>通过</v>
      </c>
      <c r="K40" s="9" t="str">
        <v>通过</v>
      </c>
      <c r="L40" s="9" t="str">
        <v>通过</v>
      </c>
      <c r="M40" s="10" t="str">
        <v>通过</v>
      </c>
    </row>
    <row r="41">
      <c r="A41" s="9" t="str">
        <v>WEB-20260717-CPP-040</v>
      </c>
      <c r="B41" s="9" t="str">
        <v>cpp</v>
      </c>
      <c r="C41" s="9" t="str">
        <v>judge</v>
      </c>
      <c r="D41" s="9" t="str">
        <v>wg21-n4950</v>
      </c>
      <c r="E41" s="9" t="str">
        <v>expr.add|basic.compound</v>
      </c>
      <c r="F41" s="9" t="str">
        <v>cpp23</v>
      </c>
      <c r="G41" s="9" t="str">
        <v>尾后位置可表示范围终点，但不指向可访问的数组元素</v>
      </c>
      <c r="H41" s="9" t="str">
        <v>sources_cpp_linux</v>
      </c>
      <c r="I41" s="9" t="str">
        <v>sources_core_cs</v>
      </c>
      <c r="J41" s="9" t="str">
        <v>通过</v>
      </c>
      <c r="K41" s="9" t="str">
        <v>通过</v>
      </c>
      <c r="L41" s="9" t="str">
        <v>通过</v>
      </c>
      <c r="M41" s="10" t="str">
        <v>通过</v>
      </c>
    </row>
    <row r="42">
      <c r="A42" s="9" t="str">
        <v>WEB-20260717-CPP-041</v>
      </c>
      <c r="B42" s="9" t="str">
        <v>cpp</v>
      </c>
      <c r="C42" s="9" t="str">
        <v>judge</v>
      </c>
      <c r="D42" s="9" t="str">
        <v>wg21-n4950</v>
      </c>
      <c r="E42" s="9" t="str">
        <v>dcl.ref|expr.ass</v>
      </c>
      <c r="F42" s="9" t="str">
        <v>cpp23</v>
      </c>
      <c r="G42" s="9" t="str">
        <v>引用初始化后不能重新绑定，赋值作用于原绑定对象</v>
      </c>
      <c r="H42" s="9" t="str">
        <v>sources_cpp_linux</v>
      </c>
      <c r="I42" s="9" t="str">
        <v>sources_core_cs</v>
      </c>
      <c r="J42" s="9" t="str">
        <v>通过</v>
      </c>
      <c r="K42" s="9" t="str">
        <v>通过</v>
      </c>
      <c r="L42" s="9" t="str">
        <v>通过</v>
      </c>
      <c r="M42" s="10" t="str">
        <v>通过</v>
      </c>
    </row>
    <row r="43">
      <c r="A43" s="9" t="str">
        <v>WEB-20260717-CPP-042</v>
      </c>
      <c r="B43" s="9" t="str">
        <v>cpp</v>
      </c>
      <c r="C43" s="9" t="str">
        <v>judge</v>
      </c>
      <c r="D43" s="9" t="str">
        <v>wg21-n4950</v>
      </c>
      <c r="E43" s="9" t="str">
        <v>class.dtor|class.abstract</v>
      </c>
      <c r="F43" s="9" t="str">
        <v>cpp23</v>
      </c>
      <c r="G43" s="9" t="str">
        <v>纯虚析构可定义且通常因销毁链调用而必须定义</v>
      </c>
      <c r="H43" s="9" t="str">
        <v>sources_cpp_linux</v>
      </c>
      <c r="I43" s="9" t="str">
        <v>sources_core_cs</v>
      </c>
      <c r="J43" s="9" t="str">
        <v>通过</v>
      </c>
      <c r="K43" s="9" t="str">
        <v>通过</v>
      </c>
      <c r="L43" s="9" t="str">
        <v>通过</v>
      </c>
      <c r="M43" s="10" t="str">
        <v>通过</v>
      </c>
    </row>
    <row r="44">
      <c r="A44" s="9" t="str">
        <v>WEB-20260717-CPP-043</v>
      </c>
      <c r="B44" s="9" t="str">
        <v>cpp</v>
      </c>
      <c r="C44" s="9" t="str">
        <v>judge</v>
      </c>
      <c r="D44" s="9" t="str">
        <v>wg21-n4950</v>
      </c>
      <c r="E44" s="9" t="str">
        <v>expr.unary.noexcept</v>
      </c>
      <c r="F44" s="9" t="str">
        <v>cpp23</v>
      </c>
      <c r="G44" s="9" t="str">
        <v>noexcept 的操作数不求值，结果在编译期形成</v>
      </c>
      <c r="H44" s="9" t="str">
        <v>sources_cpp_linux</v>
      </c>
      <c r="I44" s="9" t="str">
        <v>sources_core_cs</v>
      </c>
      <c r="J44" s="9" t="str">
        <v>通过</v>
      </c>
      <c r="K44" s="9" t="str">
        <v>通过</v>
      </c>
      <c r="L44" s="9" t="str">
        <v>通过</v>
      </c>
      <c r="M44" s="10" t="str">
        <v>通过</v>
      </c>
    </row>
    <row r="45">
      <c r="A45" s="9" t="str">
        <v>WEB-20260717-CPP-044</v>
      </c>
      <c r="B45" s="9" t="str">
        <v>cpp</v>
      </c>
      <c r="C45" s="9" t="str">
        <v>fill_blank</v>
      </c>
      <c r="D45" s="9" t="str">
        <v>wg14-n3096</v>
      </c>
      <c r="E45" s="9" t="str">
        <v>7.22.2</v>
      </c>
      <c r="F45" s="9" t="str">
        <v>c23</v>
      </c>
      <c r="G45" s="9" t="str">
        <v>CHAR_BIT 表示每字节位数，不能用常数八替代</v>
      </c>
      <c r="H45" s="9" t="str">
        <v>sources_cpp_linux</v>
      </c>
      <c r="I45" s="9" t="str">
        <v>sources_core_cs</v>
      </c>
      <c r="J45" s="9" t="str">
        <v>通过</v>
      </c>
      <c r="K45" s="9" t="str">
        <v>通过</v>
      </c>
      <c r="L45" s="9" t="str">
        <v>通过</v>
      </c>
      <c r="M45" s="10" t="str">
        <v>通过</v>
      </c>
    </row>
    <row r="46">
      <c r="A46" s="9" t="str">
        <v>WEB-20260717-CPP-045</v>
      </c>
      <c r="B46" s="9" t="str">
        <v>cpp</v>
      </c>
      <c r="C46" s="9" t="str">
        <v>fill_blank</v>
      </c>
      <c r="D46" s="9" t="str">
        <v>wg14-n3096</v>
      </c>
      <c r="E46" s="9" t="str">
        <v>7.26.2.2</v>
      </c>
      <c r="F46" s="9" t="str">
        <v>c23</v>
      </c>
      <c r="G46" s="9" t="str">
        <v>memmove 对重叠区域有定义语义，memcpy 没有</v>
      </c>
      <c r="H46" s="9" t="str">
        <v>sources_cpp_linux</v>
      </c>
      <c r="I46" s="9" t="str">
        <v>sources_core_cs</v>
      </c>
      <c r="J46" s="9" t="str">
        <v>通过</v>
      </c>
      <c r="K46" s="9" t="str">
        <v>通过</v>
      </c>
      <c r="L46" s="9" t="str">
        <v>通过</v>
      </c>
      <c r="M46" s="10" t="str">
        <v>通过</v>
      </c>
    </row>
    <row r="47">
      <c r="A47" s="9" t="str">
        <v>WEB-20260717-CPP-046</v>
      </c>
      <c r="B47" s="9" t="str">
        <v>cpp</v>
      </c>
      <c r="C47" s="9" t="str">
        <v>fill_blank</v>
      </c>
      <c r="D47" s="9" t="str">
        <v>wg21-n4950</v>
      </c>
      <c r="E47" s="9" t="str">
        <v>temp.res</v>
      </c>
      <c r="F47" s="9" t="str">
        <v>cpp23</v>
      </c>
      <c r="G47" s="9" t="str">
        <v>typename 消除依赖限定名称的类型解析歧义</v>
      </c>
      <c r="H47" s="9" t="str">
        <v>sources_cpp_linux</v>
      </c>
      <c r="I47" s="9" t="str">
        <v>sources_core_cs</v>
      </c>
      <c r="J47" s="9" t="str">
        <v>通过</v>
      </c>
      <c r="K47" s="9" t="str">
        <v>通过</v>
      </c>
      <c r="L47" s="9" t="str">
        <v>通过</v>
      </c>
      <c r="M47" s="10" t="str">
        <v>通过</v>
      </c>
    </row>
    <row r="48">
      <c r="A48" s="9" t="str">
        <v>WEB-20260717-CPP-047</v>
      </c>
      <c r="B48" s="9" t="str">
        <v>cpp</v>
      </c>
      <c r="C48" s="9" t="str">
        <v>fill_blank</v>
      </c>
      <c r="D48" s="9" t="str">
        <v>wg21-n4950</v>
      </c>
      <c r="E48" s="9" t="str">
        <v>expr.dynamic.cast</v>
      </c>
      <c r="F48" s="9" t="str">
        <v>cpp23</v>
      </c>
      <c r="G48" s="9" t="str">
        <v>引用 dynamic_cast 失败抛出 bad_cast</v>
      </c>
      <c r="H48" s="9" t="str">
        <v>sources_cpp_linux</v>
      </c>
      <c r="I48" s="9" t="str">
        <v>sources_core_cs</v>
      </c>
      <c r="J48" s="9" t="str">
        <v>通过</v>
      </c>
      <c r="K48" s="9" t="str">
        <v>通过</v>
      </c>
      <c r="L48" s="9" t="str">
        <v>通过</v>
      </c>
      <c r="M48" s="10" t="str">
        <v>通过</v>
      </c>
    </row>
    <row r="49">
      <c r="A49" s="9" t="str">
        <v>WEB-20260717-CPP-048</v>
      </c>
      <c r="B49" s="9" t="str">
        <v>cpp</v>
      </c>
      <c r="C49" s="9" t="str">
        <v>short_answer</v>
      </c>
      <c r="D49" s="9" t="str">
        <v>wg14-n3096|gcc-c-dialect</v>
      </c>
      <c r="E49" s="9" t="str">
        <v>6.5|C dialect options</v>
      </c>
      <c r="F49" s="9" t="str">
        <v>c23</v>
      </c>
      <c r="G49" s="9" t="str">
        <v>未定义行为不能通过一次实测固化为规范答案</v>
      </c>
      <c r="H49" s="9" t="str">
        <v>sources_cpp_linux</v>
      </c>
      <c r="I49" s="9" t="str">
        <v>sources_core_cs</v>
      </c>
      <c r="J49" s="9" t="str">
        <v>通过</v>
      </c>
      <c r="K49" s="9" t="str">
        <v>通过</v>
      </c>
      <c r="L49" s="9" t="str">
        <v>通过</v>
      </c>
      <c r="M49" s="10" t="str">
        <v>通过</v>
      </c>
    </row>
    <row r="50">
      <c r="A50" s="9" t="str">
        <v>WEB-20260717-CPP-049</v>
      </c>
      <c r="B50" s="9" t="str">
        <v>cpp</v>
      </c>
      <c r="C50" s="9" t="str">
        <v>short_answer</v>
      </c>
      <c r="D50" s="9" t="str">
        <v>wg21-n4950</v>
      </c>
      <c r="E50" s="9" t="str">
        <v>expr.delete|class.dtor</v>
      </c>
      <c r="F50" s="9" t="str">
        <v>cpp23</v>
      </c>
      <c r="G50" s="9" t="str">
        <v>虚析构支持多态对象的正确销毁</v>
      </c>
      <c r="H50" s="9" t="str">
        <v>sources_cpp_linux</v>
      </c>
      <c r="I50" s="9" t="str">
        <v>sources_core_cs</v>
      </c>
      <c r="J50" s="9" t="str">
        <v>通过</v>
      </c>
      <c r="K50" s="9" t="str">
        <v>通过</v>
      </c>
      <c r="L50" s="9" t="str">
        <v>通过</v>
      </c>
      <c r="M50" s="10" t="str">
        <v>通过</v>
      </c>
    </row>
    <row r="51">
      <c r="A51" s="9" t="str">
        <v>WEB-20260717-CPP-050</v>
      </c>
      <c r="B51" s="9" t="str">
        <v>cpp</v>
      </c>
      <c r="C51" s="9" t="str">
        <v>short_answer</v>
      </c>
      <c r="D51" s="9" t="str">
        <v>wg21-n4950</v>
      </c>
      <c r="E51" s="9" t="str">
        <v>temp.fct|temp.spec</v>
      </c>
      <c r="F51" s="9" t="str">
        <v>cpp23</v>
      </c>
      <c r="G51" s="9" t="str">
        <v>函数模板部分匹配通过重载或辅助类表达</v>
      </c>
      <c r="H51" s="9" t="str">
        <v>sources_cpp_linux</v>
      </c>
      <c r="I51" s="9" t="str">
        <v>sources_core_cs</v>
      </c>
      <c r="J51" s="9" t="str">
        <v>通过</v>
      </c>
      <c r="K51" s="9" t="str">
        <v>通过</v>
      </c>
      <c r="L51" s="9" t="str">
        <v>通过</v>
      </c>
      <c r="M51" s="10" t="str">
        <v>通过</v>
      </c>
    </row>
    <row r="52">
      <c r="A52" s="9" t="str">
        <v>WEB-20260717-LINUX-001</v>
      </c>
      <c r="B52" s="9" t="str">
        <v>linux</v>
      </c>
      <c r="C52" s="9" t="str">
        <v>single</v>
      </c>
      <c r="D52" s="9" t="str">
        <v>bash53</v>
      </c>
      <c r="E52" s="9" t="str">
        <v>3.1.2|3.5</v>
      </c>
      <c r="F52" s="9" t="str">
        <v>bash53</v>
      </c>
      <c r="G52" s="9" t="str">
        <v>双引号保留参数展开，同时避免展开结果再做普通分词和路径名展开</v>
      </c>
      <c r="H52" s="9" t="str">
        <v>sources_cpp_linux</v>
      </c>
      <c r="I52" s="9" t="str">
        <v>sources_core_cs</v>
      </c>
      <c r="J52" s="9" t="str">
        <v>通过</v>
      </c>
      <c r="K52" s="9" t="str">
        <v>通过</v>
      </c>
      <c r="L52" s="9" t="str">
        <v>通过</v>
      </c>
      <c r="M52" s="10" t="str">
        <v>通过</v>
      </c>
    </row>
    <row r="53">
      <c r="A53" s="9" t="str">
        <v>WEB-20260717-LINUX-002</v>
      </c>
      <c r="B53" s="9" t="str">
        <v>linux</v>
      </c>
      <c r="C53" s="9" t="str">
        <v>single</v>
      </c>
      <c r="D53" s="9" t="str">
        <v>bash53</v>
      </c>
      <c r="E53" s="9" t="str">
        <v>3.5.4</v>
      </c>
      <c r="F53" s="9" t="str">
        <v>bash53</v>
      </c>
      <c r="G53" s="9" t="str">
        <v>命令替换会移除捕获输出末尾的连续换行字符</v>
      </c>
      <c r="H53" s="9" t="str">
        <v>sources_cpp_linux</v>
      </c>
      <c r="I53" s="9" t="str">
        <v>sources_core_cs</v>
      </c>
      <c r="J53" s="9" t="str">
        <v>通过</v>
      </c>
      <c r="K53" s="9" t="str">
        <v>通过</v>
      </c>
      <c r="L53" s="9" t="str">
        <v>通过</v>
      </c>
      <c r="M53" s="10" t="str">
        <v>通过</v>
      </c>
    </row>
    <row r="54">
      <c r="A54" s="9" t="str">
        <v>WEB-20260717-LINUX-003</v>
      </c>
      <c r="B54" s="9" t="str">
        <v>linux</v>
      </c>
      <c r="C54" s="9" t="str">
        <v>single</v>
      </c>
      <c r="D54" s="9" t="str">
        <v>bash53</v>
      </c>
      <c r="E54" s="9" t="str">
        <v>3.5.8</v>
      </c>
      <c r="F54" s="9" t="str">
        <v>bash53</v>
      </c>
      <c r="G54" s="9" t="str">
        <v>默认通配模式不会匹配文件名开头的点，除非启用相应选项或显式写点</v>
      </c>
      <c r="H54" s="9" t="str">
        <v>sources_cpp_linux</v>
      </c>
      <c r="I54" s="9" t="str">
        <v>sources_core_cs</v>
      </c>
      <c r="J54" s="9" t="str">
        <v>通过</v>
      </c>
      <c r="K54" s="9" t="str">
        <v>通过</v>
      </c>
      <c r="L54" s="9" t="str">
        <v>通过</v>
      </c>
      <c r="M54" s="10" t="str">
        <v>通过</v>
      </c>
    </row>
    <row r="55">
      <c r="A55" s="9" t="str">
        <v>WEB-20260717-LINUX-004</v>
      </c>
      <c r="B55" s="9" t="str">
        <v>linux</v>
      </c>
      <c r="C55" s="9" t="str">
        <v>single</v>
      </c>
      <c r="D55" s="9" t="str">
        <v>bash53</v>
      </c>
      <c r="E55" s="9" t="str">
        <v>3.6</v>
      </c>
      <c r="F55" s="9" t="str">
        <v>bash53</v>
      </c>
      <c r="G55" s="9" t="str">
        <v>先把标准输出接到文件，再让标准错误复制当时的标准输出目标</v>
      </c>
      <c r="H55" s="9" t="str">
        <v>sources_cpp_linux</v>
      </c>
      <c r="I55" s="9" t="str">
        <v>sources_core_cs</v>
      </c>
      <c r="J55" s="9" t="str">
        <v>通过</v>
      </c>
      <c r="K55" s="9" t="str">
        <v>通过</v>
      </c>
      <c r="L55" s="9" t="str">
        <v>通过</v>
      </c>
      <c r="M55" s="10" t="str">
        <v>通过</v>
      </c>
    </row>
    <row r="56">
      <c r="A56" s="9" t="str">
        <v>WEB-20260717-LINUX-005</v>
      </c>
      <c r="B56" s="9" t="str">
        <v>linux</v>
      </c>
      <c r="C56" s="9" t="str">
        <v>single</v>
      </c>
      <c r="D56" s="9" t="str">
        <v>bash53</v>
      </c>
      <c r="E56" s="9" t="str">
        <v>3.6</v>
      </c>
      <c r="F56" s="9" t="str">
        <v>bash53</v>
      </c>
      <c r="G56" s="9" t="str">
        <v>先复制原标准输出给标准错误，随后只重定向标准输出，所以两者分离</v>
      </c>
      <c r="H56" s="9" t="str">
        <v>sources_cpp_linux</v>
      </c>
      <c r="I56" s="9" t="str">
        <v>sources_core_cs</v>
      </c>
      <c r="J56" s="9" t="str">
        <v>通过</v>
      </c>
      <c r="K56" s="9" t="str">
        <v>通过</v>
      </c>
      <c r="L56" s="9" t="str">
        <v>通过</v>
      </c>
      <c r="M56" s="10" t="str">
        <v>通过</v>
      </c>
    </row>
    <row r="57">
      <c r="A57" s="9" t="str">
        <v>WEB-20260717-LINUX-006</v>
      </c>
      <c r="B57" s="9" t="str">
        <v>linux</v>
      </c>
      <c r="C57" s="9" t="str">
        <v>single</v>
      </c>
      <c r="D57" s="9" t="str">
        <v>coreutils911</v>
      </c>
      <c r="E57" s="9" t="str">
        <v>Operating on sorted files</v>
      </c>
      <c r="F57" s="9" t="str">
        <v>gnu-coreutils-9.11</v>
      </c>
      <c r="G57" s="9" t="str">
        <v>sort -u 按排序比较规则输出唯一行而不是简单按原顺序去重</v>
      </c>
      <c r="H57" s="9" t="str">
        <v>sources_cpp_linux</v>
      </c>
      <c r="I57" s="9" t="str">
        <v>sources_core_cs</v>
      </c>
      <c r="J57" s="9" t="str">
        <v>通过</v>
      </c>
      <c r="K57" s="9" t="str">
        <v>通过</v>
      </c>
      <c r="L57" s="9" t="str">
        <v>通过</v>
      </c>
      <c r="M57" s="10" t="str">
        <v>通过</v>
      </c>
    </row>
    <row r="58">
      <c r="A58" s="9" t="str">
        <v>WEB-20260717-LINUX-007</v>
      </c>
      <c r="B58" s="9" t="str">
        <v>linux</v>
      </c>
      <c r="C58" s="9" t="str">
        <v>single</v>
      </c>
      <c r="D58" s="9" t="str">
        <v>coreutils911</v>
      </c>
      <c r="E58" s="9" t="str">
        <v>Output of parts of files</v>
      </c>
      <c r="F58" s="9" t="str">
        <v>gnu-coreutils-9.11</v>
      </c>
      <c r="G58" s="9" t="str">
        <v>tail -f 会等待并显示后续追加数据，常用于观察增长中的日志</v>
      </c>
      <c r="H58" s="9" t="str">
        <v>sources_cpp_linux</v>
      </c>
      <c r="I58" s="9" t="str">
        <v>sources_core_cs</v>
      </c>
      <c r="J58" s="9" t="str">
        <v>通过</v>
      </c>
      <c r="K58" s="9" t="str">
        <v>通过</v>
      </c>
      <c r="L58" s="9" t="str">
        <v>通过</v>
      </c>
      <c r="M58" s="10" t="str">
        <v>通过</v>
      </c>
    </row>
    <row r="59">
      <c r="A59" s="9" t="str">
        <v>WEB-20260717-LINUX-008</v>
      </c>
      <c r="B59" s="9" t="str">
        <v>linux</v>
      </c>
      <c r="C59" s="9" t="str">
        <v>single</v>
      </c>
      <c r="D59" s="9" t="str">
        <v>linux-man-pages</v>
      </c>
      <c r="E59" s="9" t="str">
        <v>path_resolution(7)|inode(7)</v>
      </c>
      <c r="F59" s="9" t="str">
        <v>linux</v>
      </c>
      <c r="G59" s="9" t="str">
        <v>目录执行权限控制路径遍历和目录项查找，不是运行目录</v>
      </c>
      <c r="H59" s="9" t="str">
        <v>sources_cpp_linux</v>
      </c>
      <c r="I59" s="9" t="str">
        <v>sources_core_cs</v>
      </c>
      <c r="J59" s="9" t="str">
        <v>通过</v>
      </c>
      <c r="K59" s="9" t="str">
        <v>通过</v>
      </c>
      <c r="L59" s="9" t="str">
        <v>通过</v>
      </c>
      <c r="M59" s="10" t="str">
        <v>通过</v>
      </c>
    </row>
    <row r="60">
      <c r="A60" s="9" t="str">
        <v>WEB-20260717-LINUX-009</v>
      </c>
      <c r="B60" s="9" t="str">
        <v>linux</v>
      </c>
      <c r="C60" s="9" t="str">
        <v>single</v>
      </c>
      <c r="D60" s="9" t="str">
        <v>linux-man-pages</v>
      </c>
      <c r="E60" s="9" t="str">
        <v>umask(2)</v>
      </c>
      <c r="F60" s="9" t="str">
        <v>linux</v>
      </c>
      <c r="G60" s="9" t="str">
        <v>umask 屏蔽创建请求中的权限位，不会凭空授予程序未请求的权限</v>
      </c>
      <c r="H60" s="9" t="str">
        <v>sources_cpp_linux</v>
      </c>
      <c r="I60" s="9" t="str">
        <v>sources_core_cs</v>
      </c>
      <c r="J60" s="9" t="str">
        <v>通过</v>
      </c>
      <c r="K60" s="9" t="str">
        <v>通过</v>
      </c>
      <c r="L60" s="9" t="str">
        <v>通过</v>
      </c>
      <c r="M60" s="10" t="str">
        <v>通过</v>
      </c>
    </row>
    <row r="61">
      <c r="A61" s="9" t="str">
        <v>WEB-20260717-LINUX-010</v>
      </c>
      <c r="B61" s="9" t="str">
        <v>linux</v>
      </c>
      <c r="C61" s="9" t="str">
        <v>single</v>
      </c>
      <c r="D61" s="9" t="str">
        <v>linux-man-pages</v>
      </c>
      <c r="E61" s="9" t="str">
        <v>link(2)|inode(7)</v>
      </c>
      <c r="F61" s="9" t="str">
        <v>linux</v>
      </c>
      <c r="G61" s="9" t="str">
        <v>硬链接是指向同一 inode 的不同目录项，因此共享内容和元数据</v>
      </c>
      <c r="H61" s="9" t="str">
        <v>sources_cpp_linux</v>
      </c>
      <c r="I61" s="9" t="str">
        <v>sources_core_cs</v>
      </c>
      <c r="J61" s="9" t="str">
        <v>通过</v>
      </c>
      <c r="K61" s="9" t="str">
        <v>通过</v>
      </c>
      <c r="L61" s="9" t="str">
        <v>通过</v>
      </c>
      <c r="M61" s="10" t="str">
        <v>通过</v>
      </c>
    </row>
    <row r="62">
      <c r="A62" s="9" t="str">
        <v>WEB-20260717-LINUX-011</v>
      </c>
      <c r="B62" s="9" t="str">
        <v>linux</v>
      </c>
      <c r="C62" s="9" t="str">
        <v>single</v>
      </c>
      <c r="D62" s="9" t="str">
        <v>linux-man-pages</v>
      </c>
      <c r="E62" s="9" t="str">
        <v>symlink(7)</v>
      </c>
      <c r="F62" s="9" t="str">
        <v>linux</v>
      </c>
      <c r="G62" s="9" t="str">
        <v>符号链接存放路径文本，目标消失不会自动删除链接本身</v>
      </c>
      <c r="H62" s="9" t="str">
        <v>sources_cpp_linux</v>
      </c>
      <c r="I62" s="9" t="str">
        <v>sources_core_cs</v>
      </c>
      <c r="J62" s="9" t="str">
        <v>通过</v>
      </c>
      <c r="K62" s="9" t="str">
        <v>通过</v>
      </c>
      <c r="L62" s="9" t="str">
        <v>通过</v>
      </c>
      <c r="M62" s="10" t="str">
        <v>通过</v>
      </c>
    </row>
    <row r="63">
      <c r="A63" s="9" t="str">
        <v>WEB-20260717-LINUX-012</v>
      </c>
      <c r="B63" s="9" t="str">
        <v>linux</v>
      </c>
      <c r="C63" s="9" t="str">
        <v>single</v>
      </c>
      <c r="D63" s="9" t="str">
        <v>linux-open2|linux-man-pages</v>
      </c>
      <c r="E63" s="9" t="str">
        <v>open(2)|unlink(2)</v>
      </c>
      <c r="F63" s="9" t="str">
        <v>linux</v>
      </c>
      <c r="G63" s="9" t="str">
        <v>目录项删除不撤销既有打开文件描述，数据在最后引用消失后回收</v>
      </c>
      <c r="H63" s="9" t="str">
        <v>sources_cpp_linux</v>
      </c>
      <c r="I63" s="9" t="str">
        <v>sources_core_cs</v>
      </c>
      <c r="J63" s="9" t="str">
        <v>通过</v>
      </c>
      <c r="K63" s="9" t="str">
        <v>通过</v>
      </c>
      <c r="L63" s="9" t="str">
        <v>通过</v>
      </c>
      <c r="M63" s="10" t="str">
        <v>通过</v>
      </c>
    </row>
    <row r="64">
      <c r="A64" s="9" t="str">
        <v>WEB-20260717-LINUX-013</v>
      </c>
      <c r="B64" s="9" t="str">
        <v>linux</v>
      </c>
      <c r="C64" s="9" t="str">
        <v>single</v>
      </c>
      <c r="D64" s="9" t="str">
        <v>linux-open2</v>
      </c>
      <c r="E64" s="9" t="str">
        <v>open(2)</v>
      </c>
      <c r="F64" s="9" t="str">
        <v>linux</v>
      </c>
      <c r="G64" s="9" t="str">
        <v>open 成功返回进程当前未使用的最小文件描述符编号</v>
      </c>
      <c r="H64" s="9" t="str">
        <v>sources_cpp_linux</v>
      </c>
      <c r="I64" s="9" t="str">
        <v>sources_core_cs</v>
      </c>
      <c r="J64" s="9" t="str">
        <v>通过</v>
      </c>
      <c r="K64" s="9" t="str">
        <v>通过</v>
      </c>
      <c r="L64" s="9" t="str">
        <v>通过</v>
      </c>
      <c r="M64" s="10" t="str">
        <v>通过</v>
      </c>
    </row>
    <row r="65">
      <c r="A65" s="9" t="str">
        <v>WEB-20260717-LINUX-014</v>
      </c>
      <c r="B65" s="9" t="str">
        <v>linux</v>
      </c>
      <c r="C65" s="9" t="str">
        <v>single</v>
      </c>
      <c r="D65" s="9" t="str">
        <v>linux-open2</v>
      </c>
      <c r="E65" s="9" t="str">
        <v>open(2) NOTES</v>
      </c>
      <c r="F65" s="9" t="str">
        <v>linux</v>
      </c>
      <c r="G65" s="9" t="str">
        <v>多个描述符可引用同一打开描述并共享文件偏移和状态标志</v>
      </c>
      <c r="H65" s="9" t="str">
        <v>sources_cpp_linux</v>
      </c>
      <c r="I65" s="9" t="str">
        <v>sources_core_cs</v>
      </c>
      <c r="J65" s="9" t="str">
        <v>通过</v>
      </c>
      <c r="K65" s="9" t="str">
        <v>通过</v>
      </c>
      <c r="L65" s="9" t="str">
        <v>通过</v>
      </c>
      <c r="M65" s="10" t="str">
        <v>通过</v>
      </c>
    </row>
    <row r="66">
      <c r="A66" s="9" t="str">
        <v>WEB-20260717-LINUX-015</v>
      </c>
      <c r="B66" s="9" t="str">
        <v>linux</v>
      </c>
      <c r="C66" s="9" t="str">
        <v>single</v>
      </c>
      <c r="D66" s="9" t="str">
        <v>linux-fork2</v>
      </c>
      <c r="E66" s="9" t="str">
        <v>fork(2) RETURN VALUE</v>
      </c>
      <c r="F66" s="9" t="str">
        <v>linux</v>
      </c>
      <c r="G66" s="9" t="str">
        <v>fork 成功时父进程得到子 PID，子进程得到零</v>
      </c>
      <c r="H66" s="9" t="str">
        <v>sources_cpp_linux</v>
      </c>
      <c r="I66" s="9" t="str">
        <v>sources_core_cs</v>
      </c>
      <c r="J66" s="9" t="str">
        <v>通过</v>
      </c>
      <c r="K66" s="9" t="str">
        <v>通过</v>
      </c>
      <c r="L66" s="9" t="str">
        <v>通过</v>
      </c>
      <c r="M66" s="10" t="str">
        <v>通过</v>
      </c>
    </row>
    <row r="67">
      <c r="A67" s="9" t="str">
        <v>WEB-20260717-LINUX-016</v>
      </c>
      <c r="B67" s="9" t="str">
        <v>linux</v>
      </c>
      <c r="C67" s="9" t="str">
        <v>single</v>
      </c>
      <c r="D67" s="9" t="str">
        <v>linux-fork2</v>
      </c>
      <c r="E67" s="9" t="str">
        <v>fork(2) NOTES</v>
      </c>
      <c r="F67" s="9" t="str">
        <v>linux</v>
      </c>
      <c r="G67" s="9" t="str">
        <v>写时复制推迟物理页复制，但父子仍具有独立的进程地址空间语义</v>
      </c>
      <c r="H67" s="9" t="str">
        <v>sources_cpp_linux</v>
      </c>
      <c r="I67" s="9" t="str">
        <v>sources_core_cs</v>
      </c>
      <c r="J67" s="9" t="str">
        <v>通过</v>
      </c>
      <c r="K67" s="9" t="str">
        <v>通过</v>
      </c>
      <c r="L67" s="9" t="str">
        <v>通过</v>
      </c>
      <c r="M67" s="10" t="str">
        <v>通过</v>
      </c>
    </row>
    <row r="68">
      <c r="A68" s="9" t="str">
        <v>WEB-20260717-LINUX-017</v>
      </c>
      <c r="B68" s="9" t="str">
        <v>linux</v>
      </c>
      <c r="C68" s="9" t="str">
        <v>single</v>
      </c>
      <c r="D68" s="9" t="str">
        <v>linux-execve2</v>
      </c>
      <c r="E68" s="9" t="str">
        <v>execve(2) NOTES</v>
      </c>
      <c r="F68" s="9" t="str">
        <v>linux</v>
      </c>
      <c r="G68" s="9" t="str">
        <v>execve 让现有进程执行新程序，成功后 PID 等进程身份继续存在</v>
      </c>
      <c r="H68" s="9" t="str">
        <v>sources_cpp_linux</v>
      </c>
      <c r="I68" s="9" t="str">
        <v>sources_core_cs</v>
      </c>
      <c r="J68" s="9" t="str">
        <v>通过</v>
      </c>
      <c r="K68" s="9" t="str">
        <v>通过</v>
      </c>
      <c r="L68" s="9" t="str">
        <v>通过</v>
      </c>
      <c r="M68" s="10" t="str">
        <v>通过</v>
      </c>
    </row>
    <row r="69">
      <c r="A69" s="9" t="str">
        <v>WEB-20260717-LINUX-018</v>
      </c>
      <c r="B69" s="9" t="str">
        <v>linux</v>
      </c>
      <c r="C69" s="9" t="str">
        <v>single</v>
      </c>
      <c r="D69" s="9" t="str">
        <v>linux-execve2|linux-open2</v>
      </c>
      <c r="E69" s="9" t="str">
        <v>execve(2)|open(2)</v>
      </c>
      <c r="F69" s="9" t="str">
        <v>linux</v>
      </c>
      <c r="G69" s="9" t="str">
        <v>execve 默认保留文件描述符，FD_CLOEXEC 或 O_CLOEXEC 才要求关闭</v>
      </c>
      <c r="H69" s="9" t="str">
        <v>sources_cpp_linux</v>
      </c>
      <c r="I69" s="9" t="str">
        <v>sources_core_cs</v>
      </c>
      <c r="J69" s="9" t="str">
        <v>通过</v>
      </c>
      <c r="K69" s="9" t="str">
        <v>通过</v>
      </c>
      <c r="L69" s="9" t="str">
        <v>通过</v>
      </c>
      <c r="M69" s="10" t="str">
        <v>通过</v>
      </c>
    </row>
    <row r="70">
      <c r="A70" s="9" t="str">
        <v>WEB-20260717-LINUX-019</v>
      </c>
      <c r="B70" s="9" t="str">
        <v>linux</v>
      </c>
      <c r="C70" s="9" t="str">
        <v>single</v>
      </c>
      <c r="D70" s="9" t="str">
        <v>linux-man-pages</v>
      </c>
      <c r="E70" s="9" t="str">
        <v>wait(2)|exit(3)</v>
      </c>
      <c r="F70" s="9" t="str">
        <v>linux</v>
      </c>
      <c r="G70" s="9" t="str">
        <v>僵尸进程已停止执行，只保留供父进程 wait 获取的终止状态</v>
      </c>
      <c r="H70" s="9" t="str">
        <v>sources_cpp_linux</v>
      </c>
      <c r="I70" s="9" t="str">
        <v>sources_core_cs</v>
      </c>
      <c r="J70" s="9" t="str">
        <v>通过</v>
      </c>
      <c r="K70" s="9" t="str">
        <v>通过</v>
      </c>
      <c r="L70" s="9" t="str">
        <v>通过</v>
      </c>
      <c r="M70" s="10" t="str">
        <v>通过</v>
      </c>
    </row>
    <row r="71">
      <c r="A71" s="9" t="str">
        <v>WEB-20260717-LINUX-020</v>
      </c>
      <c r="B71" s="9" t="str">
        <v>linux</v>
      </c>
      <c r="C71" s="9" t="str">
        <v>single</v>
      </c>
      <c r="D71" s="9" t="str">
        <v>linux-man-pages</v>
      </c>
      <c r="E71" s="9" t="str">
        <v>kill(2)|signal(7)</v>
      </c>
      <c r="F71" s="9" t="str">
        <v>linux</v>
      </c>
      <c r="G71" s="9" t="str">
        <v>kill 系统调用发送信号，SIGTERM 可被捕获或处理并不保证立即退出</v>
      </c>
      <c r="H71" s="9" t="str">
        <v>sources_cpp_linux</v>
      </c>
      <c r="I71" s="9" t="str">
        <v>sources_core_cs</v>
      </c>
      <c r="J71" s="9" t="str">
        <v>通过</v>
      </c>
      <c r="K71" s="9" t="str">
        <v>通过</v>
      </c>
      <c r="L71" s="9" t="str">
        <v>通过</v>
      </c>
      <c r="M71" s="10" t="str">
        <v>通过</v>
      </c>
    </row>
    <row r="72">
      <c r="A72" s="9" t="str">
        <v>WEB-20260717-LINUX-021</v>
      </c>
      <c r="B72" s="9" t="str">
        <v>linux</v>
      </c>
      <c r="C72" s="9" t="str">
        <v>single</v>
      </c>
      <c r="D72" s="9" t="str">
        <v>linux-man-pages</v>
      </c>
      <c r="E72" s="9" t="str">
        <v>signal(7)</v>
      </c>
      <c r="F72" s="9" t="str">
        <v>linux</v>
      </c>
      <c r="G72" s="9" t="str">
        <v>SIGKILL 由内核强制处理，目标进程不能安装处理器或阻塞它</v>
      </c>
      <c r="H72" s="9" t="str">
        <v>sources_cpp_linux</v>
      </c>
      <c r="I72" s="9" t="str">
        <v>sources_core_cs</v>
      </c>
      <c r="J72" s="9" t="str">
        <v>通过</v>
      </c>
      <c r="K72" s="9" t="str">
        <v>通过</v>
      </c>
      <c r="L72" s="9" t="str">
        <v>通过</v>
      </c>
      <c r="M72" s="10" t="str">
        <v>通过</v>
      </c>
    </row>
    <row r="73">
      <c r="A73" s="9" t="str">
        <v>WEB-20260717-LINUX-022</v>
      </c>
      <c r="B73" s="9" t="str">
        <v>linux</v>
      </c>
      <c r="C73" s="9" t="str">
        <v>single</v>
      </c>
      <c r="D73" s="9" t="str">
        <v>linux-man-pages</v>
      </c>
      <c r="E73" s="9" t="str">
        <v>pipe(7)|read(2)</v>
      </c>
      <c r="F73" s="9" t="str">
        <v>linux</v>
      </c>
      <c r="G73" s="9" t="str">
        <v>只有所有写端引用关闭并读完缓冲数据后，读取端才观察到文件结束</v>
      </c>
      <c r="H73" s="9" t="str">
        <v>sources_cpp_linux</v>
      </c>
      <c r="I73" s="9" t="str">
        <v>sources_core_cs</v>
      </c>
      <c r="J73" s="9" t="str">
        <v>通过</v>
      </c>
      <c r="K73" s="9" t="str">
        <v>通过</v>
      </c>
      <c r="L73" s="9" t="str">
        <v>通过</v>
      </c>
      <c r="M73" s="10" t="str">
        <v>通过</v>
      </c>
    </row>
    <row r="74">
      <c r="A74" s="9" t="str">
        <v>WEB-20260717-LINUX-023</v>
      </c>
      <c r="B74" s="9" t="str">
        <v>linux</v>
      </c>
      <c r="C74" s="9" t="str">
        <v>single</v>
      </c>
      <c r="D74" s="9" t="str">
        <v>glibc242|linux-man-pages</v>
      </c>
      <c r="E74" s="9" t="str">
        <v>User Database|passwd(5)</v>
      </c>
      <c r="F74" s="9" t="str">
        <v>linux+glibc</v>
      </c>
      <c r="G74" s="9" t="str">
        <v>passwd 文件保存账户记录，敏感密码散列通常分离到受限的 shadow 文件</v>
      </c>
      <c r="H74" s="9" t="str">
        <v>sources_cpp_linux</v>
      </c>
      <c r="I74" s="9" t="str">
        <v>sources_core_cs</v>
      </c>
      <c r="J74" s="9" t="str">
        <v>通过</v>
      </c>
      <c r="K74" s="9" t="str">
        <v>通过</v>
      </c>
      <c r="L74" s="9" t="str">
        <v>通过</v>
      </c>
      <c r="M74" s="10" t="str">
        <v>通过</v>
      </c>
    </row>
    <row r="75">
      <c r="A75" s="9" t="str">
        <v>WEB-20260717-LINUX-024</v>
      </c>
      <c r="B75" s="9" t="str">
        <v>linux</v>
      </c>
      <c r="C75" s="9" t="str">
        <v>single</v>
      </c>
      <c r="D75" s="9" t="str">
        <v>linux-man-pages</v>
      </c>
      <c r="E75" s="9" t="str">
        <v>credentials(7)|path_resolution(7)</v>
      </c>
      <c r="F75" s="9" t="str">
        <v>linux</v>
      </c>
      <c r="G75" s="9" t="str">
        <v>Linux 文件权限检查使用文件系统用户 ID，普通情况下它与有效用户 ID 相同</v>
      </c>
      <c r="H75" s="9" t="str">
        <v>sources_cpp_linux</v>
      </c>
      <c r="I75" s="9" t="str">
        <v>sources_core_cs</v>
      </c>
      <c r="J75" s="9" t="str">
        <v>通过</v>
      </c>
      <c r="K75" s="9" t="str">
        <v>通过</v>
      </c>
      <c r="L75" s="9" t="str">
        <v>通过</v>
      </c>
      <c r="M75" s="10" t="str">
        <v>通过</v>
      </c>
    </row>
    <row r="76">
      <c r="A76" s="9" t="str">
        <v>WEB-20260717-LINUX-025</v>
      </c>
      <c r="B76" s="9" t="str">
        <v>linux</v>
      </c>
      <c r="C76" s="9" t="str">
        <v>single</v>
      </c>
      <c r="D76" s="9" t="str">
        <v>systemd-docs</v>
      </c>
      <c r="E76" s="9" t="str">
        <v>journalctl(1) -b</v>
      </c>
      <c r="F76" s="9" t="str">
        <v>systemd</v>
      </c>
      <c r="G76" s="9" t="str">
        <v>journalctl 的 -b 选项按启动记录筛选，默认指向当前启动</v>
      </c>
      <c r="H76" s="9" t="str">
        <v>sources_cpp_linux</v>
      </c>
      <c r="I76" s="9" t="str">
        <v>sources_core_cs</v>
      </c>
      <c r="J76" s="9" t="str">
        <v>通过</v>
      </c>
      <c r="K76" s="9" t="str">
        <v>通过</v>
      </c>
      <c r="L76" s="9" t="str">
        <v>通过</v>
      </c>
      <c r="M76" s="10" t="str">
        <v>通过</v>
      </c>
    </row>
    <row r="77">
      <c r="A77" s="9" t="str">
        <v>WEB-20260717-LINUX-026</v>
      </c>
      <c r="B77" s="9" t="str">
        <v>linux</v>
      </c>
      <c r="C77" s="9" t="str">
        <v>single</v>
      </c>
      <c r="D77" s="9" t="str">
        <v>systemd-docs|linux-kernel-docs</v>
      </c>
      <c r="E77" s="9" t="str">
        <v>systemd README|Userspace tools</v>
      </c>
      <c r="F77" s="9" t="str">
        <v>linux+systemd</v>
      </c>
      <c r="G77" s="9" t="str">
        <v>systemd 是用户空间项目而非 Linux 内核或所有系统的必选组件</v>
      </c>
      <c r="H77" s="9" t="str">
        <v>sources_cpp_linux</v>
      </c>
      <c r="I77" s="9" t="str">
        <v>sources_core_cs</v>
      </c>
      <c r="J77" s="9" t="str">
        <v>通过</v>
      </c>
      <c r="K77" s="9" t="str">
        <v>通过</v>
      </c>
      <c r="L77" s="9" t="str">
        <v>通过</v>
      </c>
      <c r="M77" s="10" t="str">
        <v>通过</v>
      </c>
    </row>
    <row r="78">
      <c r="A78" s="9" t="str">
        <v>WEB-20260717-LINUX-027</v>
      </c>
      <c r="B78" s="9" t="str">
        <v>linux</v>
      </c>
      <c r="C78" s="9" t="str">
        <v>single</v>
      </c>
      <c r="D78" s="9" t="str">
        <v>systemd-docs</v>
      </c>
      <c r="E78" s="9" t="str">
        <v>journalctl(1) -f</v>
      </c>
      <c r="F78" s="9" t="str">
        <v>systemd</v>
      </c>
      <c r="G78" s="9" t="str">
        <v>journalctl -f 跟随新增日志记录，本身不是日志删除命令</v>
      </c>
      <c r="H78" s="9" t="str">
        <v>sources_cpp_linux</v>
      </c>
      <c r="I78" s="9" t="str">
        <v>sources_core_cs</v>
      </c>
      <c r="J78" s="9" t="str">
        <v>通过</v>
      </c>
      <c r="K78" s="9" t="str">
        <v>通过</v>
      </c>
      <c r="L78" s="9" t="str">
        <v>通过</v>
      </c>
      <c r="M78" s="10" t="str">
        <v>通过</v>
      </c>
    </row>
    <row r="79">
      <c r="A79" s="9" t="str">
        <v>WEB-20260717-LINUX-028</v>
      </c>
      <c r="B79" s="9" t="str">
        <v>linux</v>
      </c>
      <c r="C79" s="9" t="str">
        <v>single</v>
      </c>
      <c r="D79" s="9" t="str">
        <v>linux-man-pages</v>
      </c>
      <c r="E79" s="9" t="str">
        <v>icmp(7)</v>
      </c>
      <c r="F79" s="9" t="str">
        <v>linux</v>
      </c>
      <c r="G79" s="9" t="str">
        <v>ICMP 回显可能被策略过滤，单一 ping 失败不足以判定主机状态</v>
      </c>
      <c r="H79" s="9" t="str">
        <v>sources_cpp_linux</v>
      </c>
      <c r="I79" s="9" t="str">
        <v>sources_core_cs</v>
      </c>
      <c r="J79" s="9" t="str">
        <v>通过</v>
      </c>
      <c r="K79" s="9" t="str">
        <v>通过</v>
      </c>
      <c r="L79" s="9" t="str">
        <v>通过</v>
      </c>
      <c r="M79" s="10" t="str">
        <v>通过</v>
      </c>
    </row>
    <row r="80">
      <c r="A80" s="9" t="str">
        <v>WEB-20260717-LINUX-029</v>
      </c>
      <c r="B80" s="9" t="str">
        <v>linux</v>
      </c>
      <c r="C80" s="9" t="str">
        <v>single</v>
      </c>
      <c r="D80" s="9" t="str">
        <v>linux-man-pages</v>
      </c>
      <c r="E80" s="9" t="str">
        <v>socket(7)|listen(2)|accept(2)</v>
      </c>
      <c r="F80" s="9" t="str">
        <v>linux</v>
      </c>
      <c r="G80" s="9" t="str">
        <v>监听端用于接收连接请求，accept 返回的连接套接字才对应具体会话</v>
      </c>
      <c r="H80" s="9" t="str">
        <v>sources_cpp_linux</v>
      </c>
      <c r="I80" s="9" t="str">
        <v>sources_core_cs</v>
      </c>
      <c r="J80" s="9" t="str">
        <v>通过</v>
      </c>
      <c r="K80" s="9" t="str">
        <v>通过</v>
      </c>
      <c r="L80" s="9" t="str">
        <v>通过</v>
      </c>
      <c r="M80" s="10" t="str">
        <v>通过</v>
      </c>
    </row>
    <row r="81">
      <c r="A81" s="9" t="str">
        <v>WEB-20260717-LINUX-030</v>
      </c>
      <c r="B81" s="9" t="str">
        <v>linux</v>
      </c>
      <c r="C81" s="9" t="str">
        <v>single</v>
      </c>
      <c r="D81" s="9" t="str">
        <v>linux-man-pages</v>
      </c>
      <c r="E81" s="9" t="str">
        <v>shutdown(2)|close(2)</v>
      </c>
      <c r="F81" s="9" t="str">
        <v>linux</v>
      </c>
      <c r="G81" s="9" t="str">
        <v>SHUT_WR 只关闭套接字发送方向，不释放描述符，也不关闭接收方向</v>
      </c>
      <c r="H81" s="9" t="str">
        <v>sources_cpp_linux</v>
      </c>
      <c r="I81" s="9" t="str">
        <v>sources_core_cs</v>
      </c>
      <c r="J81" s="9" t="str">
        <v>通过</v>
      </c>
      <c r="K81" s="9" t="str">
        <v>通过</v>
      </c>
      <c r="L81" s="9" t="str">
        <v>通过</v>
      </c>
      <c r="M81" s="10" t="str">
        <v>通过</v>
      </c>
    </row>
    <row r="82">
      <c r="A82" s="9" t="str">
        <v>WEB-20260717-LINUX-031</v>
      </c>
      <c r="B82" s="9" t="str">
        <v>linux</v>
      </c>
      <c r="C82" s="9" t="str">
        <v>multiple</v>
      </c>
      <c r="D82" s="9" t="str">
        <v>bash53</v>
      </c>
      <c r="E82" s="9" t="str">
        <v>3.1.2|3.5.8</v>
      </c>
      <c r="F82" s="9" t="str">
        <v>bash53</v>
      </c>
      <c r="G82" s="9" t="str">
        <v>引号或转义可让星号保持字面含义，裸星号会参与路径名展开</v>
      </c>
      <c r="H82" s="9" t="str">
        <v>sources_cpp_linux</v>
      </c>
      <c r="I82" s="9" t="str">
        <v>sources_core_cs</v>
      </c>
      <c r="J82" s="9" t="str">
        <v>通过</v>
      </c>
      <c r="K82" s="9" t="str">
        <v>通过</v>
      </c>
      <c r="L82" s="9" t="str">
        <v>通过</v>
      </c>
      <c r="M82" s="10" t="str">
        <v>通过</v>
      </c>
    </row>
    <row r="83">
      <c r="A83" s="9" t="str">
        <v>WEB-20260717-LINUX-032</v>
      </c>
      <c r="B83" s="9" t="str">
        <v>linux</v>
      </c>
      <c r="C83" s="9" t="str">
        <v>multiple</v>
      </c>
      <c r="D83" s="9" t="str">
        <v>linux-man-pages</v>
      </c>
      <c r="E83" s="9" t="str">
        <v>path_resolution(7)|inode(7)</v>
      </c>
      <c r="F83" s="9" t="str">
        <v>linux</v>
      </c>
      <c r="G83" s="9" t="str">
        <v>目录读写执行位分别影响列举、修改目录项和路径遍历</v>
      </c>
      <c r="H83" s="9" t="str">
        <v>sources_cpp_linux</v>
      </c>
      <c r="I83" s="9" t="str">
        <v>sources_core_cs</v>
      </c>
      <c r="J83" s="9" t="str">
        <v>通过</v>
      </c>
      <c r="K83" s="9" t="str">
        <v>通过</v>
      </c>
      <c r="L83" s="9" t="str">
        <v>通过</v>
      </c>
      <c r="M83" s="10" t="str">
        <v>通过</v>
      </c>
    </row>
    <row r="84">
      <c r="A84" s="9" t="str">
        <v>WEB-20260717-LINUX-033</v>
      </c>
      <c r="B84" s="9" t="str">
        <v>linux</v>
      </c>
      <c r="C84" s="9" t="str">
        <v>multiple</v>
      </c>
      <c r="D84" s="9" t="str">
        <v>linux-man-pages</v>
      </c>
      <c r="E84" s="9" t="str">
        <v>link(2)|symlink(7)</v>
      </c>
      <c r="F84" s="9" t="str">
        <v>linux</v>
      </c>
      <c r="G84" s="9" t="str">
        <v>硬链接是同一inode目录项，符号链接保存可跨文件系统的路径文本</v>
      </c>
      <c r="H84" s="9" t="str">
        <v>sources_cpp_linux</v>
      </c>
      <c r="I84" s="9" t="str">
        <v>sources_core_cs</v>
      </c>
      <c r="J84" s="9" t="str">
        <v>通过</v>
      </c>
      <c r="K84" s="9" t="str">
        <v>通过</v>
      </c>
      <c r="L84" s="9" t="str">
        <v>通过</v>
      </c>
      <c r="M84" s="10" t="str">
        <v>通过</v>
      </c>
    </row>
    <row r="85">
      <c r="A85" s="9" t="str">
        <v>WEB-20260717-LINUX-034</v>
      </c>
      <c r="B85" s="9" t="str">
        <v>linux</v>
      </c>
      <c r="C85" s="9" t="str">
        <v>multiple</v>
      </c>
      <c r="D85" s="9" t="str">
        <v>linux-fork2|linux-execve2</v>
      </c>
      <c r="E85" s="9" t="str">
        <v>fork(2)|execve(2)</v>
      </c>
      <c r="F85" s="9" t="str">
        <v>linux</v>
      </c>
      <c r="G85" s="9" t="str">
        <v>fork 创建子进程，而成功 execve 替换当前程序且不返回旧代码</v>
      </c>
      <c r="H85" s="9" t="str">
        <v>sources_cpp_linux</v>
      </c>
      <c r="I85" s="9" t="str">
        <v>sources_core_cs</v>
      </c>
      <c r="J85" s="9" t="str">
        <v>通过</v>
      </c>
      <c r="K85" s="9" t="str">
        <v>通过</v>
      </c>
      <c r="L85" s="9" t="str">
        <v>通过</v>
      </c>
      <c r="M85" s="10" t="str">
        <v>通过</v>
      </c>
    </row>
    <row r="86">
      <c r="A86" s="9" t="str">
        <v>WEB-20260717-LINUX-035</v>
      </c>
      <c r="B86" s="9" t="str">
        <v>linux</v>
      </c>
      <c r="C86" s="9" t="str">
        <v>multiple</v>
      </c>
      <c r="D86" s="9" t="str">
        <v>linux-man-pages</v>
      </c>
      <c r="E86" s="9" t="str">
        <v>signal(7)</v>
      </c>
      <c r="F86" s="9" t="str">
        <v>linux</v>
      </c>
      <c r="G86" s="9" t="str">
        <v>SIGKILL 与 SIGSTOP 由内核强制处理，不能安装用户处理器</v>
      </c>
      <c r="H86" s="9" t="str">
        <v>sources_cpp_linux</v>
      </c>
      <c r="I86" s="9" t="str">
        <v>sources_core_cs</v>
      </c>
      <c r="J86" s="9" t="str">
        <v>通过</v>
      </c>
      <c r="K86" s="9" t="str">
        <v>通过</v>
      </c>
      <c r="L86" s="9" t="str">
        <v>通过</v>
      </c>
      <c r="M86" s="10" t="str">
        <v>通过</v>
      </c>
    </row>
    <row r="87">
      <c r="A87" s="9" t="str">
        <v>WEB-20260717-LINUX-036</v>
      </c>
      <c r="B87" s="9" t="str">
        <v>linux</v>
      </c>
      <c r="C87" s="9" t="str">
        <v>multiple</v>
      </c>
      <c r="D87" s="9" t="str">
        <v>linux-proc</v>
      </c>
      <c r="E87" s="9" t="str">
        <v>filesystems/proc.html</v>
      </c>
      <c r="F87" s="9" t="str">
        <v>linux</v>
      </c>
      <c r="G87" s="9" t="str">
        <v>procfs 动态暴露内核与进程状态，并受访问权限及挂载策略控制</v>
      </c>
      <c r="H87" s="9" t="str">
        <v>sources_cpp_linux</v>
      </c>
      <c r="I87" s="9" t="str">
        <v>sources_core_cs</v>
      </c>
      <c r="J87" s="9" t="str">
        <v>通过</v>
      </c>
      <c r="K87" s="9" t="str">
        <v>通过</v>
      </c>
      <c r="L87" s="9" t="str">
        <v>通过</v>
      </c>
      <c r="M87" s="10" t="str">
        <v>通过</v>
      </c>
    </row>
    <row r="88">
      <c r="A88" s="9" t="str">
        <v>WEB-20260717-LINUX-037</v>
      </c>
      <c r="B88" s="9" t="str">
        <v>linux</v>
      </c>
      <c r="C88" s="9" t="str">
        <v>multiple</v>
      </c>
      <c r="D88" s="9" t="str">
        <v>linux-man-pages|systemd-docs</v>
      </c>
      <c r="E88" s="9" t="str">
        <v>socket(7)|journalctl(1)</v>
      </c>
      <c r="F88" s="9" t="str">
        <v>linux+systemd</v>
      </c>
      <c r="G88" s="9" t="str">
        <v>连通性问题需结合监听、名称解析、策略和应用日志，不能只看单一 ping</v>
      </c>
      <c r="H88" s="9" t="str">
        <v>sources_cpp_linux</v>
      </c>
      <c r="I88" s="9" t="str">
        <v>sources_core_cs</v>
      </c>
      <c r="J88" s="9" t="str">
        <v>通过</v>
      </c>
      <c r="K88" s="9" t="str">
        <v>通过</v>
      </c>
      <c r="L88" s="9" t="str">
        <v>通过</v>
      </c>
      <c r="M88" s="10" t="str">
        <v>通过</v>
      </c>
    </row>
    <row r="89">
      <c r="A89" s="9" t="str">
        <v>WEB-20260717-LINUX-038</v>
      </c>
      <c r="B89" s="9" t="str">
        <v>linux</v>
      </c>
      <c r="C89" s="9" t="str">
        <v>multiple</v>
      </c>
      <c r="D89" s="9" t="str">
        <v>systemd-docs|linux-kernel-docs</v>
      </c>
      <c r="E89" s="9" t="str">
        <v>journalctl(1)|systemctl(1)</v>
      </c>
      <c r="F89" s="9" t="str">
        <v>linux+systemd</v>
      </c>
      <c r="G89" s="9" t="str">
        <v>systemd 是可选用户空间体系，其工具语义应明确限定到 systemd 环境</v>
      </c>
      <c r="H89" s="9" t="str">
        <v>sources_cpp_linux</v>
      </c>
      <c r="I89" s="9" t="str">
        <v>sources_core_cs</v>
      </c>
      <c r="J89" s="9" t="str">
        <v>通过</v>
      </c>
      <c r="K89" s="9" t="str">
        <v>通过</v>
      </c>
      <c r="L89" s="9" t="str">
        <v>通过</v>
      </c>
      <c r="M89" s="10" t="str">
        <v>通过</v>
      </c>
    </row>
    <row r="90">
      <c r="A90" s="9" t="str">
        <v>WEB-20260717-LINUX-039</v>
      </c>
      <c r="B90" s="9" t="str">
        <v>linux</v>
      </c>
      <c r="C90" s="9" t="str">
        <v>judge</v>
      </c>
      <c r="D90" s="9" t="str">
        <v>bash53</v>
      </c>
      <c r="E90" s="9" t="str">
        <v>3.5.8</v>
      </c>
      <c r="F90" s="9" t="str">
        <v>bash53</v>
      </c>
      <c r="G90" s="9" t="str">
        <v>默认路径名展开不匹配文件名开头的点，需显式模式或选项</v>
      </c>
      <c r="H90" s="9" t="str">
        <v>sources_cpp_linux</v>
      </c>
      <c r="I90" s="9" t="str">
        <v>sources_core_cs</v>
      </c>
      <c r="J90" s="9" t="str">
        <v>通过</v>
      </c>
      <c r="K90" s="9" t="str">
        <v>通过</v>
      </c>
      <c r="L90" s="9" t="str">
        <v>通过</v>
      </c>
      <c r="M90" s="10" t="str">
        <v>通过</v>
      </c>
    </row>
    <row r="91">
      <c r="A91" s="9" t="str">
        <v>WEB-20260717-LINUX-040</v>
      </c>
      <c r="B91" s="9" t="str">
        <v>linux</v>
      </c>
      <c r="C91" s="9" t="str">
        <v>judge</v>
      </c>
      <c r="D91" s="9" t="str">
        <v>linux-open2|linux-man-pages</v>
      </c>
      <c r="E91" s="9" t="str">
        <v>open(2)|unlink(2)</v>
      </c>
      <c r="F91" s="9" t="str">
        <v>linux</v>
      </c>
      <c r="G91" s="9" t="str">
        <v>打开描述保持对对象的引用，目录项删除不立即撤销现有访问</v>
      </c>
      <c r="H91" s="9" t="str">
        <v>sources_cpp_linux</v>
      </c>
      <c r="I91" s="9" t="str">
        <v>sources_core_cs</v>
      </c>
      <c r="J91" s="9" t="str">
        <v>通过</v>
      </c>
      <c r="K91" s="9" t="str">
        <v>通过</v>
      </c>
      <c r="L91" s="9" t="str">
        <v>通过</v>
      </c>
      <c r="M91" s="10" t="str">
        <v>通过</v>
      </c>
    </row>
    <row r="92">
      <c r="A92" s="9" t="str">
        <v>WEB-20260717-LINUX-041</v>
      </c>
      <c r="B92" s="9" t="str">
        <v>linux</v>
      </c>
      <c r="C92" s="9" t="str">
        <v>judge</v>
      </c>
      <c r="D92" s="9" t="str">
        <v>linux-execve2</v>
      </c>
      <c r="E92" s="9" t="str">
        <v>execve(2) NOTES</v>
      </c>
      <c r="F92" s="9" t="str">
        <v>linux</v>
      </c>
      <c r="G92" s="9" t="str">
        <v>execve 替换当前进程程序映像，成功后不会返回也不新建 PID</v>
      </c>
      <c r="H92" s="9" t="str">
        <v>sources_cpp_linux</v>
      </c>
      <c r="I92" s="9" t="str">
        <v>sources_core_cs</v>
      </c>
      <c r="J92" s="9" t="str">
        <v>通过</v>
      </c>
      <c r="K92" s="9" t="str">
        <v>通过</v>
      </c>
      <c r="L92" s="9" t="str">
        <v>通过</v>
      </c>
      <c r="M92" s="10" t="str">
        <v>通过</v>
      </c>
    </row>
    <row r="93">
      <c r="A93" s="9" t="str">
        <v>WEB-20260717-LINUX-042</v>
      </c>
      <c r="B93" s="9" t="str">
        <v>linux</v>
      </c>
      <c r="C93" s="9" t="str">
        <v>judge</v>
      </c>
      <c r="D93" s="9" t="str">
        <v>linux-man-pages</v>
      </c>
      <c r="E93" s="9" t="str">
        <v>signal(7)|kill(2)</v>
      </c>
      <c r="F93" s="9" t="str">
        <v>linux</v>
      </c>
      <c r="G93" s="9" t="str">
        <v>SIGTERM 可被捕获、阻塞或处理，发送成功不等于目标立即结束</v>
      </c>
      <c r="H93" s="9" t="str">
        <v>sources_cpp_linux</v>
      </c>
      <c r="I93" s="9" t="str">
        <v>sources_core_cs</v>
      </c>
      <c r="J93" s="9" t="str">
        <v>通过</v>
      </c>
      <c r="K93" s="9" t="str">
        <v>通过</v>
      </c>
      <c r="L93" s="9" t="str">
        <v>通过</v>
      </c>
      <c r="M93" s="10" t="str">
        <v>通过</v>
      </c>
    </row>
    <row r="94">
      <c r="A94" s="9" t="str">
        <v>WEB-20260717-LINUX-043</v>
      </c>
      <c r="B94" s="9" t="str">
        <v>linux</v>
      </c>
      <c r="C94" s="9" t="str">
        <v>judge</v>
      </c>
      <c r="D94" s="9" t="str">
        <v>systemd-docs|linux-kernel-docs</v>
      </c>
      <c r="E94" s="9" t="str">
        <v>systemd README|Userspace tools</v>
      </c>
      <c r="F94" s="9" t="str">
        <v>linux+systemd</v>
      </c>
      <c r="G94" s="9" t="str">
        <v>systemd 是用户空间服务管理方案，不是不可替换的内核组成</v>
      </c>
      <c r="H94" s="9" t="str">
        <v>sources_cpp_linux</v>
      </c>
      <c r="I94" s="9" t="str">
        <v>sources_core_cs</v>
      </c>
      <c r="J94" s="9" t="str">
        <v>通过</v>
      </c>
      <c r="K94" s="9" t="str">
        <v>通过</v>
      </c>
      <c r="L94" s="9" t="str">
        <v>通过</v>
      </c>
      <c r="M94" s="10" t="str">
        <v>通过</v>
      </c>
    </row>
    <row r="95">
      <c r="A95" s="9" t="str">
        <v>WEB-20260717-LINUX-044</v>
      </c>
      <c r="B95" s="9" t="str">
        <v>linux</v>
      </c>
      <c r="C95" s="9" t="str">
        <v>fill_blank</v>
      </c>
      <c r="D95" s="9" t="str">
        <v>bash53</v>
      </c>
      <c r="E95" s="9" t="str">
        <v>3.4.2</v>
      </c>
      <c r="F95" s="9" t="str">
        <v>bash53</v>
      </c>
      <c r="G95" s="9" t="str">
        <v>特殊参数问号通过 `$?` 展开为最近前台管道的退出状态</v>
      </c>
      <c r="H95" s="9" t="str">
        <v>sources_cpp_linux</v>
      </c>
      <c r="I95" s="9" t="str">
        <v>sources_core_cs</v>
      </c>
      <c r="J95" s="9" t="str">
        <v>通过</v>
      </c>
      <c r="K95" s="9" t="str">
        <v>通过</v>
      </c>
      <c r="L95" s="9" t="str">
        <v>通过</v>
      </c>
      <c r="M95" s="10" t="str">
        <v>通过</v>
      </c>
    </row>
    <row r="96">
      <c r="A96" s="9" t="str">
        <v>WEB-20260717-LINUX-045</v>
      </c>
      <c r="B96" s="9" t="str">
        <v>linux</v>
      </c>
      <c r="C96" s="9" t="str">
        <v>fill_blank</v>
      </c>
      <c r="D96" s="9" t="str">
        <v>linux-open2</v>
      </c>
      <c r="E96" s="9" t="str">
        <v>open(2)</v>
      </c>
      <c r="F96" s="9" t="str">
        <v>linux</v>
      </c>
      <c r="G96" s="9" t="str">
        <v>文件描述符是进程引用打开文件描述的非负整数句柄</v>
      </c>
      <c r="H96" s="9" t="str">
        <v>sources_cpp_linux</v>
      </c>
      <c r="I96" s="9" t="str">
        <v>sources_core_cs</v>
      </c>
      <c r="J96" s="9" t="str">
        <v>通过</v>
      </c>
      <c r="K96" s="9" t="str">
        <v>通过</v>
      </c>
      <c r="L96" s="9" t="str">
        <v>通过</v>
      </c>
      <c r="M96" s="10" t="str">
        <v>通过</v>
      </c>
    </row>
    <row r="97">
      <c r="A97" s="9" t="str">
        <v>WEB-20260717-LINUX-046</v>
      </c>
      <c r="B97" s="9" t="str">
        <v>linux</v>
      </c>
      <c r="C97" s="9" t="str">
        <v>fill_blank</v>
      </c>
      <c r="D97" s="9" t="str">
        <v>linux-man-pages</v>
      </c>
      <c r="E97" s="9" t="str">
        <v>wait(2)</v>
      </c>
      <c r="F97" s="9" t="str">
        <v>linux</v>
      </c>
      <c r="G97" s="9" t="str">
        <v>wait 系列取得子进程状态并清除其僵尸进程表记录</v>
      </c>
      <c r="H97" s="9" t="str">
        <v>sources_cpp_linux</v>
      </c>
      <c r="I97" s="9" t="str">
        <v>sources_core_cs</v>
      </c>
      <c r="J97" s="9" t="str">
        <v>通过</v>
      </c>
      <c r="K97" s="9" t="str">
        <v>通过</v>
      </c>
      <c r="L97" s="9" t="str">
        <v>通过</v>
      </c>
      <c r="M97" s="10" t="str">
        <v>通过</v>
      </c>
    </row>
    <row r="98">
      <c r="A98" s="9" t="str">
        <v>WEB-20260717-LINUX-047</v>
      </c>
      <c r="B98" s="9" t="str">
        <v>linux</v>
      </c>
      <c r="C98" s="9" t="str">
        <v>fill_blank</v>
      </c>
      <c r="D98" s="9" t="str">
        <v>linux-fork2</v>
      </c>
      <c r="E98" s="9" t="str">
        <v>fork(2) RETURN VALUE</v>
      </c>
      <c r="F98" s="9" t="str">
        <v>linux</v>
      </c>
      <c r="G98" s="9" t="str">
        <v>fork 在子进程返回零，在父进程返回子进程 PID</v>
      </c>
      <c r="H98" s="9" t="str">
        <v>sources_cpp_linux</v>
      </c>
      <c r="I98" s="9" t="str">
        <v>sources_core_cs</v>
      </c>
      <c r="J98" s="9" t="str">
        <v>通过</v>
      </c>
      <c r="K98" s="9" t="str">
        <v>通过</v>
      </c>
      <c r="L98" s="9" t="str">
        <v>通过</v>
      </c>
      <c r="M98" s="10" t="str">
        <v>通过</v>
      </c>
    </row>
    <row r="99">
      <c r="A99" s="9" t="str">
        <v>WEB-20260717-LINUX-048</v>
      </c>
      <c r="B99" s="9" t="str">
        <v>linux</v>
      </c>
      <c r="C99" s="9" t="str">
        <v>short_answer</v>
      </c>
      <c r="D99" s="9" t="str">
        <v>linux-open2</v>
      </c>
      <c r="E99" s="9" t="str">
        <v>open(2) NOTES</v>
      </c>
      <c r="F99" s="9" t="str">
        <v>linux</v>
      </c>
      <c r="G99" s="9" t="str">
        <v>描述符是句柄，打开描述保存偏移与状态，复制描述符会共享后者</v>
      </c>
      <c r="H99" s="9" t="str">
        <v>sources_cpp_linux</v>
      </c>
      <c r="I99" s="9" t="str">
        <v>sources_core_cs</v>
      </c>
      <c r="J99" s="9" t="str">
        <v>通过</v>
      </c>
      <c r="K99" s="9" t="str">
        <v>通过</v>
      </c>
      <c r="L99" s="9" t="str">
        <v>通过</v>
      </c>
      <c r="M99" s="10" t="str">
        <v>通过</v>
      </c>
    </row>
    <row r="100">
      <c r="A100" s="9" t="str">
        <v>WEB-20260717-LINUX-049</v>
      </c>
      <c r="B100" s="9" t="str">
        <v>linux</v>
      </c>
      <c r="C100" s="9" t="str">
        <v>short_answer</v>
      </c>
      <c r="D100" s="9" t="str">
        <v>linux-fork2|linux-execve2</v>
      </c>
      <c r="E100" s="9" t="str">
        <v>fork(2)|execve(2)</v>
      </c>
      <c r="F100" s="9" t="str">
        <v>linux</v>
      </c>
      <c r="G100" s="9" t="str">
        <v>fork 创建进程，execve 在现有进程中替换所执行程序</v>
      </c>
      <c r="H100" s="9" t="str">
        <v>sources_cpp_linux</v>
      </c>
      <c r="I100" s="9" t="str">
        <v>sources_core_cs</v>
      </c>
      <c r="J100" s="9" t="str">
        <v>通过</v>
      </c>
      <c r="K100" s="9" t="str">
        <v>通过</v>
      </c>
      <c r="L100" s="9" t="str">
        <v>通过</v>
      </c>
      <c r="M100" s="10" t="str">
        <v>通过</v>
      </c>
    </row>
    <row r="101">
      <c r="A101" s="9" t="str">
        <v>WEB-20260717-LINUX-050</v>
      </c>
      <c r="B101" s="9" t="str">
        <v>linux</v>
      </c>
      <c r="C101" s="9" t="str">
        <v>short_answer</v>
      </c>
      <c r="D101" s="9" t="str">
        <v>linux-man-pages|systemd-docs</v>
      </c>
      <c r="E101" s="9" t="str">
        <v>icmp(7)|socket(7)|journalctl(1)</v>
      </c>
      <c r="F101" s="9" t="str">
        <v>linux+systemd</v>
      </c>
      <c r="G101" s="9" t="str">
        <v>ping 只验证特定 ICMP 交互，完整排障需结合端口、路由和应用证据</v>
      </c>
      <c r="H101" s="9" t="str">
        <v>sources_cpp_linux</v>
      </c>
      <c r="I101" s="9" t="str">
        <v>sources_core_cs</v>
      </c>
      <c r="J101" s="9" t="str">
        <v>通过</v>
      </c>
      <c r="K101" s="9" t="str">
        <v>通过</v>
      </c>
      <c r="L101" s="9" t="str">
        <v>通过</v>
      </c>
      <c r="M101" s="10" t="str">
        <v>通过</v>
      </c>
    </row>
    <row r="102">
      <c r="A102" s="9" t="str">
        <v>WEB-20260717-OS-001</v>
      </c>
      <c r="B102" s="9" t="str">
        <v>os</v>
      </c>
      <c r="C102" s="9" t="str">
        <v>single</v>
      </c>
      <c r="D102" s="9" t="str">
        <v>posix-2024</v>
      </c>
      <c r="E102" s="9" t="str">
        <v>exec 函数说明：多线程进程成功执行后的进程映像与线程行为</v>
      </c>
      <c r="F102" s="9" t="str">
        <v>zh-CN</v>
      </c>
      <c r="G102" s="9" t="str">
        <v>成功的 exec 替换当前进程映像，不等同于创建新进程。</v>
      </c>
      <c r="H102" s="9" t="str">
        <v>sources_core_cs</v>
      </c>
      <c r="I102" s="9" t="str">
        <v>sources_cpp_linux</v>
      </c>
      <c r="J102" s="9" t="str">
        <v>通过</v>
      </c>
      <c r="K102" s="9" t="str">
        <v>通过</v>
      </c>
      <c r="L102" s="9" t="str">
        <v>通过</v>
      </c>
      <c r="M102" s="10" t="str">
        <v>通过</v>
      </c>
    </row>
    <row r="103">
      <c r="A103" s="9" t="str">
        <v>WEB-20260717-OS-002</v>
      </c>
      <c r="B103" s="9" t="str">
        <v>os</v>
      </c>
      <c r="C103" s="9" t="str">
        <v>single</v>
      </c>
      <c r="D103" s="9" t="str">
        <v>posix-2024|xv6-book</v>
      </c>
      <c r="E103" s="9" t="str">
        <v>fork 与打开文件描述继承|xv6 文件描述符和 file 结构</v>
      </c>
      <c r="F103" s="9" t="str">
        <v>zh-CN</v>
      </c>
      <c r="G103" s="9" t="str">
        <v>fork 复制描述符引用，父子可共享打开文件描述中的偏移。</v>
      </c>
      <c r="H103" s="9" t="str">
        <v>sources_core_cs</v>
      </c>
      <c r="I103" s="9" t="str">
        <v>sources_cpp_linux</v>
      </c>
      <c r="J103" s="9" t="str">
        <v>通过</v>
      </c>
      <c r="K103" s="9" t="str">
        <v>通过</v>
      </c>
      <c r="L103" s="9" t="str">
        <v>通过</v>
      </c>
      <c r="M103" s="10" t="str">
        <v>通过</v>
      </c>
    </row>
    <row r="104">
      <c r="A104" s="9" t="str">
        <v>WEB-20260717-OS-003</v>
      </c>
      <c r="B104" s="9" t="str">
        <v>os</v>
      </c>
      <c r="C104" s="9" t="str">
        <v>single</v>
      </c>
      <c r="D104" s="9" t="str">
        <v>xv6-book|linux-scheduler</v>
      </c>
      <c r="E104" s="9" t="str">
        <v>xv6 scheduling and sleep|Linux scheduler task states</v>
      </c>
      <c r="F104" s="9" t="str">
        <v>zh-CN</v>
      </c>
      <c r="G104" s="9" t="str">
        <v>等待未完成 I/O 的任务通常阻塞，事件完成后才转为就绪。</v>
      </c>
      <c r="H104" s="9" t="str">
        <v>sources_core_cs</v>
      </c>
      <c r="I104" s="9" t="str">
        <v>sources_cpp_linux</v>
      </c>
      <c r="J104" s="9" t="str">
        <v>通过</v>
      </c>
      <c r="K104" s="9" t="str">
        <v>通过</v>
      </c>
      <c r="L104" s="9" t="str">
        <v>通过</v>
      </c>
      <c r="M104" s="10" t="str">
        <v>通过</v>
      </c>
    </row>
    <row r="105">
      <c r="A105" s="9" t="str">
        <v>WEB-20260717-OS-004</v>
      </c>
      <c r="B105" s="9" t="str">
        <v>os</v>
      </c>
      <c r="C105" s="9" t="str">
        <v>single</v>
      </c>
      <c r="D105" s="9" t="str">
        <v>xv6-book|riscv-priv</v>
      </c>
      <c r="E105" s="9" t="str">
        <v>Scheduling 章节的上下文切换|地址空间与页表上下文</v>
      </c>
      <c r="F105" s="9" t="str">
        <v>zh-CN</v>
      </c>
      <c r="G105" s="9" t="str">
        <v>同一进程线程共享地址空间，但拥有各自执行上下文。</v>
      </c>
      <c r="H105" s="9" t="str">
        <v>sources_core_cs</v>
      </c>
      <c r="I105" s="9" t="str">
        <v>sources_cpp_linux</v>
      </c>
      <c r="J105" s="9" t="str">
        <v>通过</v>
      </c>
      <c r="K105" s="9" t="str">
        <v>通过</v>
      </c>
      <c r="L105" s="9" t="str">
        <v>通过</v>
      </c>
      <c r="M105" s="10" t="str">
        <v>通过</v>
      </c>
    </row>
    <row r="106">
      <c r="A106" s="9" t="str">
        <v>WEB-20260717-OS-005</v>
      </c>
      <c r="B106" s="9" t="str">
        <v>os</v>
      </c>
      <c r="C106" s="9" t="str">
        <v>single</v>
      </c>
      <c r="D106" s="9" t="str">
        <v>xv6-book|posix-2024</v>
      </c>
      <c r="E106" s="9" t="str">
        <v>xv6 process exit and wait|wait 接口</v>
      </c>
      <c r="F106" s="9" t="str">
        <v>zh-CN</v>
      </c>
      <c r="G106" s="9" t="str">
        <v>僵尸状态保留终止信息，直到父进程等待并回收。</v>
      </c>
      <c r="H106" s="9" t="str">
        <v>sources_core_cs</v>
      </c>
      <c r="I106" s="9" t="str">
        <v>sources_cpp_linux</v>
      </c>
      <c r="J106" s="9" t="str">
        <v>通过</v>
      </c>
      <c r="K106" s="9" t="str">
        <v>通过</v>
      </c>
      <c r="L106" s="9" t="str">
        <v>通过</v>
      </c>
      <c r="M106" s="10" t="str">
        <v>通过</v>
      </c>
    </row>
    <row r="107">
      <c r="A107" s="9" t="str">
        <v>WEB-20260717-OS-006</v>
      </c>
      <c r="B107" s="9" t="str">
        <v>os</v>
      </c>
      <c r="C107" s="9" t="str">
        <v>single</v>
      </c>
      <c r="D107" s="9" t="str">
        <v>xv6-book|linux-scheduler|riscv-priv</v>
      </c>
      <c r="E107" s="9" t="str">
        <v>xv6 interrupts and scheduling|scheduler 文档|timer interrupt and traps</v>
      </c>
      <c r="F107" s="9" t="str">
        <v>zh-CN</v>
      </c>
      <c r="G107" s="9" t="str">
        <v>周期性定时事件支持抢占和调度，但不等于每次都发生切换。</v>
      </c>
      <c r="H107" s="9" t="str">
        <v>sources_core_cs</v>
      </c>
      <c r="I107" s="9" t="str">
        <v>sources_cpp_linux</v>
      </c>
      <c r="J107" s="9" t="str">
        <v>通过</v>
      </c>
      <c r="K107" s="9" t="str">
        <v>通过</v>
      </c>
      <c r="L107" s="9" t="str">
        <v>通过</v>
      </c>
      <c r="M107" s="10" t="str">
        <v>通过</v>
      </c>
    </row>
    <row r="108">
      <c r="A108" s="9" t="str">
        <v>WEB-20260717-OS-007</v>
      </c>
      <c r="B108" s="9" t="str">
        <v>os</v>
      </c>
      <c r="C108" s="9" t="str">
        <v>single</v>
      </c>
      <c r="D108" s="9" t="str">
        <v>xv6-book|linux-mm</v>
      </c>
      <c r="E108" s="9" t="str">
        <v>page faults and copy-on-write|Linux process address spaces</v>
      </c>
      <c r="F108" s="9" t="str">
        <v>zh-CN</v>
      </c>
      <c r="G108" s="9" t="str">
        <v>写时复制将 fork 的页面复制推迟到写故障发生时。</v>
      </c>
      <c r="H108" s="9" t="str">
        <v>sources_core_cs</v>
      </c>
      <c r="I108" s="9" t="str">
        <v>sources_cpp_linux</v>
      </c>
      <c r="J108" s="9" t="str">
        <v>通过</v>
      </c>
      <c r="K108" s="9" t="str">
        <v>通过</v>
      </c>
      <c r="L108" s="9" t="str">
        <v>通过</v>
      </c>
      <c r="M108" s="10" t="str">
        <v>通过</v>
      </c>
    </row>
    <row r="109">
      <c r="A109" s="9" t="str">
        <v>WEB-20260717-OS-008</v>
      </c>
      <c r="B109" s="9" t="str">
        <v>os</v>
      </c>
      <c r="C109" s="9" t="str">
        <v>single</v>
      </c>
      <c r="D109" s="9" t="str">
        <v>xv6-book|riscv-priv</v>
      </c>
      <c r="E109" s="9" t="str">
        <v>traps and system calls|privilege levels and trap entry</v>
      </c>
      <c r="F109" s="9" t="str">
        <v>zh-CN</v>
      </c>
      <c r="G109" s="9" t="str">
        <v>系统调用通过受控陷阱入口完成特权转换与参数检查。</v>
      </c>
      <c r="H109" s="9" t="str">
        <v>sources_core_cs</v>
      </c>
      <c r="I109" s="9" t="str">
        <v>sources_cpp_linux</v>
      </c>
      <c r="J109" s="9" t="str">
        <v>通过</v>
      </c>
      <c r="K109" s="9" t="str">
        <v>通过</v>
      </c>
      <c r="L109" s="9" t="str">
        <v>通过</v>
      </c>
      <c r="M109" s="10" t="str">
        <v>通过</v>
      </c>
    </row>
    <row r="110">
      <c r="A110" s="9" t="str">
        <v>WEB-20260717-OS-009</v>
      </c>
      <c r="B110" s="9" t="str">
        <v>os</v>
      </c>
      <c r="C110" s="9" t="str">
        <v>multiple</v>
      </c>
      <c r="D110" s="9" t="str">
        <v>posix-2024|xv6-book</v>
      </c>
      <c r="E110" s="9" t="str">
        <v>POSIX threads execution model|process and thread context</v>
      </c>
      <c r="F110" s="9" t="str">
        <v>zh-CN</v>
      </c>
      <c r="G110" s="9" t="str">
        <v>线程共享进程资源，但保留各自栈和寄存器上下文。</v>
      </c>
      <c r="H110" s="9" t="str">
        <v>sources_core_cs</v>
      </c>
      <c r="I110" s="9" t="str">
        <v>sources_cpp_linux</v>
      </c>
      <c r="J110" s="9" t="str">
        <v>通过</v>
      </c>
      <c r="K110" s="9" t="str">
        <v>通过</v>
      </c>
      <c r="L110" s="9" t="str">
        <v>通过</v>
      </c>
      <c r="M110" s="10" t="str">
        <v>通过</v>
      </c>
    </row>
    <row r="111">
      <c r="A111" s="9" t="str">
        <v>WEB-20260717-OS-010</v>
      </c>
      <c r="B111" s="9" t="str">
        <v>os</v>
      </c>
      <c r="C111" s="9" t="str">
        <v>multiple</v>
      </c>
      <c r="D111" s="9" t="str">
        <v>xv6-book|linux-scheduler|riscv-priv</v>
      </c>
      <c r="E111" s="9" t="str">
        <v>context switching|scheduler implementation|address translation state</v>
      </c>
      <c r="F111" s="9" t="str">
        <v>zh-CN</v>
      </c>
      <c r="G111" s="9" t="str">
        <v>上下文切换成本包含直接状态保存与间接缓存扰动。</v>
      </c>
      <c r="H111" s="9" t="str">
        <v>sources_core_cs</v>
      </c>
      <c r="I111" s="9" t="str">
        <v>sources_cpp_linux</v>
      </c>
      <c r="J111" s="9" t="str">
        <v>通过</v>
      </c>
      <c r="K111" s="9" t="str">
        <v>通过</v>
      </c>
      <c r="L111" s="9" t="str">
        <v>通过</v>
      </c>
      <c r="M111" s="10" t="str">
        <v>通过</v>
      </c>
    </row>
    <row r="112">
      <c r="A112" s="9" t="str">
        <v>WEB-20260717-OS-011</v>
      </c>
      <c r="B112" s="9" t="str">
        <v>os</v>
      </c>
      <c r="C112" s="9" t="str">
        <v>judge</v>
      </c>
      <c r="D112" s="9" t="str">
        <v>posix-2024</v>
      </c>
      <c r="E112" s="9" t="str">
        <v>exec process image replacement</v>
      </c>
      <c r="F112" s="9" t="str">
        <v>zh-CN</v>
      </c>
      <c r="G112" s="9" t="str">
        <v>exec 不以创建新 PID 为语义，而是替换现有进程映像。</v>
      </c>
      <c r="H112" s="9" t="str">
        <v>sources_core_cs</v>
      </c>
      <c r="I112" s="9" t="str">
        <v>sources_cpp_linux</v>
      </c>
      <c r="J112" s="9" t="str">
        <v>通过</v>
      </c>
      <c r="K112" s="9" t="str">
        <v>通过</v>
      </c>
      <c r="L112" s="9" t="str">
        <v>通过</v>
      </c>
      <c r="M112" s="10" t="str">
        <v>通过</v>
      </c>
    </row>
    <row r="113">
      <c r="A113" s="9" t="str">
        <v>WEB-20260717-OS-012</v>
      </c>
      <c r="B113" s="9" t="str">
        <v>os</v>
      </c>
      <c r="C113" s="9" t="str">
        <v>fill_blank</v>
      </c>
      <c r="D113" s="9" t="str">
        <v>posix-2024|xv6-book</v>
      </c>
      <c r="E113" s="9" t="str">
        <v>wait and waitpid|xv6 exit and wait</v>
      </c>
      <c r="F113" s="9" t="str">
        <v>zh-CN</v>
      </c>
      <c r="G113" s="9" t="str">
        <v>父进程通过 wait 类接口获取终止状态并回收子进程。</v>
      </c>
      <c r="H113" s="9" t="str">
        <v>sources_core_cs</v>
      </c>
      <c r="I113" s="9" t="str">
        <v>sources_cpp_linux</v>
      </c>
      <c r="J113" s="9" t="str">
        <v>通过</v>
      </c>
      <c r="K113" s="9" t="str">
        <v>通过</v>
      </c>
      <c r="L113" s="9" t="str">
        <v>通过</v>
      </c>
      <c r="M113" s="10" t="str">
        <v>通过</v>
      </c>
    </row>
    <row r="114">
      <c r="A114" s="9" t="str">
        <v>WEB-20260717-OS-013</v>
      </c>
      <c r="B114" s="9" t="str">
        <v>os</v>
      </c>
      <c r="C114" s="9" t="str">
        <v>single</v>
      </c>
      <c r="D114" s="9" t="str">
        <v>posix-2024|xv6-book</v>
      </c>
      <c r="E114" s="9" t="str">
        <v>pthread condition wait semantics|sleep and wakeup</v>
      </c>
      <c r="F114" s="9" t="str">
        <v>zh-CN</v>
      </c>
      <c r="G114" s="9" t="str">
        <v>条件等待与互斥锁组合可避免检查谓词后的丢失唤醒。</v>
      </c>
      <c r="H114" s="9" t="str">
        <v>sources_core_cs</v>
      </c>
      <c r="I114" s="9" t="str">
        <v>sources_cpp_linux</v>
      </c>
      <c r="J114" s="9" t="str">
        <v>通过</v>
      </c>
      <c r="K114" s="9" t="str">
        <v>通过</v>
      </c>
      <c r="L114" s="9" t="str">
        <v>通过</v>
      </c>
      <c r="M114" s="10" t="str">
        <v>通过</v>
      </c>
    </row>
    <row r="115">
      <c r="A115" s="9" t="str">
        <v>WEB-20260717-OS-014</v>
      </c>
      <c r="B115" s="9" t="str">
        <v>os</v>
      </c>
      <c r="C115" s="9" t="str">
        <v>single</v>
      </c>
      <c r="D115" s="9" t="str">
        <v>xv6-book|posix-2024</v>
      </c>
      <c r="E115" s="9" t="str">
        <v>sleep and synchronization|semaphore synchronization model</v>
      </c>
      <c r="F115" s="9" t="str">
        <v>zh-CN</v>
      </c>
      <c r="G115" s="9" t="str">
        <v>初值为零的信号量会让先到的等待者阻塞至许可发布。</v>
      </c>
      <c r="H115" s="9" t="str">
        <v>sources_core_cs</v>
      </c>
      <c r="I115" s="9" t="str">
        <v>sources_cpp_linux</v>
      </c>
      <c r="J115" s="9" t="str">
        <v>通过</v>
      </c>
      <c r="K115" s="9" t="str">
        <v>通过</v>
      </c>
      <c r="L115" s="9" t="str">
        <v>通过</v>
      </c>
      <c r="M115" s="10" t="str">
        <v>通过</v>
      </c>
    </row>
    <row r="116">
      <c r="A116" s="9" t="str">
        <v>WEB-20260717-OS-015</v>
      </c>
      <c r="B116" s="9" t="str">
        <v>os</v>
      </c>
      <c r="C116" s="9" t="str">
        <v>single</v>
      </c>
      <c r="D116" s="9" t="str">
        <v>linux-locking|xv6-book</v>
      </c>
      <c r="E116" s="9" t="str">
        <v>lock ordering and deadlock avoidance|locking chapter</v>
      </c>
      <c r="F116" s="9" t="str">
        <v>zh-CN</v>
      </c>
      <c r="G116" s="9" t="str">
        <v>统一锁顺序可从结构上消除循环等待。</v>
      </c>
      <c r="H116" s="9" t="str">
        <v>sources_core_cs</v>
      </c>
      <c r="I116" s="9" t="str">
        <v>sources_cpp_linux</v>
      </c>
      <c r="J116" s="9" t="str">
        <v>通过</v>
      </c>
      <c r="K116" s="9" t="str">
        <v>通过</v>
      </c>
      <c r="L116" s="9" t="str">
        <v>通过</v>
      </c>
      <c r="M116" s="10" t="str">
        <v>通过</v>
      </c>
    </row>
    <row r="117">
      <c r="A117" s="9" t="str">
        <v>WEB-20260717-OS-016</v>
      </c>
      <c r="B117" s="9" t="str">
        <v>os</v>
      </c>
      <c r="C117" s="9" t="str">
        <v>single</v>
      </c>
      <c r="D117" s="9" t="str">
        <v>linux-locking|xv6-book</v>
      </c>
      <c r="E117" s="9" t="str">
        <v>lock types and rules|spinlocks and sleep locks</v>
      </c>
      <c r="F117" s="9" t="str">
        <v>zh-CN</v>
      </c>
      <c r="G117" s="9" t="str">
        <v>自旋锁适合短等待，长 I/O 等待应避免持续忙等。</v>
      </c>
      <c r="H117" s="9" t="str">
        <v>sources_core_cs</v>
      </c>
      <c r="I117" s="9" t="str">
        <v>sources_cpp_linux</v>
      </c>
      <c r="J117" s="9" t="str">
        <v>通过</v>
      </c>
      <c r="K117" s="9" t="str">
        <v>通过</v>
      </c>
      <c r="L117" s="9" t="str">
        <v>通过</v>
      </c>
      <c r="M117" s="10" t="str">
        <v>通过</v>
      </c>
    </row>
    <row r="118">
      <c r="A118" s="9" t="str">
        <v>WEB-20260717-OS-017</v>
      </c>
      <c r="B118" s="9" t="str">
        <v>os</v>
      </c>
      <c r="C118" s="9" t="str">
        <v>single</v>
      </c>
      <c r="D118" s="9" t="str">
        <v>xv6-book|posix-2024</v>
      </c>
      <c r="E118" s="9" t="str">
        <v>sleep and wakeup lost wakeup|condition wait rationale</v>
      </c>
      <c r="F118" s="9" t="str">
        <v>zh-CN</v>
      </c>
      <c r="G118" s="9" t="str">
        <v>条件检查与睡眠脱节会形成丢失唤醒竞态。</v>
      </c>
      <c r="H118" s="9" t="str">
        <v>sources_core_cs</v>
      </c>
      <c r="I118" s="9" t="str">
        <v>sources_cpp_linux</v>
      </c>
      <c r="J118" s="9" t="str">
        <v>通过</v>
      </c>
      <c r="K118" s="9" t="str">
        <v>通过</v>
      </c>
      <c r="L118" s="9" t="str">
        <v>通过</v>
      </c>
      <c r="M118" s="10" t="str">
        <v>通过</v>
      </c>
    </row>
    <row r="119">
      <c r="A119" s="9" t="str">
        <v>WEB-20260717-OS-018</v>
      </c>
      <c r="B119" s="9" t="str">
        <v>os</v>
      </c>
      <c r="C119" s="9" t="str">
        <v>single</v>
      </c>
      <c r="D119" s="9" t="str">
        <v>posix-2024</v>
      </c>
      <c r="E119" s="9" t="str">
        <v>pthread recursive mutex rationale</v>
      </c>
      <c r="F119" s="9" t="str">
        <v>zh-CN</v>
      </c>
      <c r="G119" s="9" t="str">
        <v>递归互斥量的每次成功加锁都需要匹配解锁。</v>
      </c>
      <c r="H119" s="9" t="str">
        <v>sources_core_cs</v>
      </c>
      <c r="I119" s="9" t="str">
        <v>sources_cpp_linux</v>
      </c>
      <c r="J119" s="9" t="str">
        <v>通过</v>
      </c>
      <c r="K119" s="9" t="str">
        <v>通过</v>
      </c>
      <c r="L119" s="9" t="str">
        <v>通过</v>
      </c>
      <c r="M119" s="10" t="str">
        <v>通过</v>
      </c>
    </row>
    <row r="120">
      <c r="A120" s="9" t="str">
        <v>WEB-20260717-OS-019</v>
      </c>
      <c r="B120" s="9" t="str">
        <v>os</v>
      </c>
      <c r="C120" s="9" t="str">
        <v>multiple</v>
      </c>
      <c r="D120" s="9" t="str">
        <v>linux-locking|xv6-book</v>
      </c>
      <c r="E120" s="9" t="str">
        <v>deadlock avoidance documentation|locking and sleep</v>
      </c>
      <c r="F120" s="9" t="str">
        <v>zh-CN</v>
      </c>
      <c r="G120" s="9" t="str">
        <v>经典死锁分析关注互斥、持有等待、不可剥夺和循环等待。</v>
      </c>
      <c r="H120" s="9" t="str">
        <v>sources_core_cs</v>
      </c>
      <c r="I120" s="9" t="str">
        <v>sources_cpp_linux</v>
      </c>
      <c r="J120" s="9" t="str">
        <v>通过</v>
      </c>
      <c r="K120" s="9" t="str">
        <v>通过</v>
      </c>
      <c r="L120" s="9" t="str">
        <v>通过</v>
      </c>
      <c r="M120" s="10" t="str">
        <v>通过</v>
      </c>
    </row>
    <row r="121">
      <c r="A121" s="9" t="str">
        <v>WEB-20260717-OS-020</v>
      </c>
      <c r="B121" s="9" t="str">
        <v>os</v>
      </c>
      <c r="C121" s="9" t="str">
        <v>multiple</v>
      </c>
      <c r="D121" s="9" t="str">
        <v>posix-2024|xv6-book</v>
      </c>
      <c r="E121" s="9" t="str">
        <v>condition variable wait semantics|sleep-wakeup correctness</v>
      </c>
      <c r="F121" s="9" t="str">
        <v>zh-CN</v>
      </c>
      <c r="G121" s="9" t="str">
        <v>条件变量必须围绕受锁保护的谓词以循环方式使用。</v>
      </c>
      <c r="H121" s="9" t="str">
        <v>sources_core_cs</v>
      </c>
      <c r="I121" s="9" t="str">
        <v>sources_cpp_linux</v>
      </c>
      <c r="J121" s="9" t="str">
        <v>通过</v>
      </c>
      <c r="K121" s="9" t="str">
        <v>通过</v>
      </c>
      <c r="L121" s="9" t="str">
        <v>通过</v>
      </c>
      <c r="M121" s="10" t="str">
        <v>通过</v>
      </c>
    </row>
    <row r="122">
      <c r="A122" s="9" t="str">
        <v>WEB-20260717-OS-021</v>
      </c>
      <c r="B122" s="9" t="str">
        <v>os</v>
      </c>
      <c r="C122" s="9" t="str">
        <v>judge</v>
      </c>
      <c r="D122" s="9" t="str">
        <v>posix-2024|linux-scheduler</v>
      </c>
      <c r="E122" s="9" t="str">
        <v>semaphore synchronization semantics|scheduler policy independence</v>
      </c>
      <c r="F122" s="9" t="str">
        <v>zh-CN</v>
      </c>
      <c r="G122" s="9" t="str">
        <v>信号量本身不普遍保证等待者严格 FIFO 公平性。</v>
      </c>
      <c r="H122" s="9" t="str">
        <v>sources_core_cs</v>
      </c>
      <c r="I122" s="9" t="str">
        <v>sources_cpp_linux</v>
      </c>
      <c r="J122" s="9" t="str">
        <v>通过</v>
      </c>
      <c r="K122" s="9" t="str">
        <v>通过</v>
      </c>
      <c r="L122" s="9" t="str">
        <v>通过</v>
      </c>
      <c r="M122" s="10" t="str">
        <v>通过</v>
      </c>
    </row>
    <row r="123">
      <c r="A123" s="9" t="str">
        <v>WEB-20260717-OS-022</v>
      </c>
      <c r="B123" s="9" t="str">
        <v>os</v>
      </c>
      <c r="C123" s="9" t="str">
        <v>fill_blank</v>
      </c>
      <c r="D123" s="9" t="str">
        <v>posix-2024</v>
      </c>
      <c r="E123" s="9" t="str">
        <v>condition variable predicate loop</v>
      </c>
      <c r="F123" s="9" t="str">
        <v>zh-CN</v>
      </c>
      <c r="G123" s="9" t="str">
        <v>条件变量等待围绕共享谓词进行，返回后必须重新判断。</v>
      </c>
      <c r="H123" s="9" t="str">
        <v>sources_core_cs</v>
      </c>
      <c r="I123" s="9" t="str">
        <v>sources_cpp_linux</v>
      </c>
      <c r="J123" s="9" t="str">
        <v>通过</v>
      </c>
      <c r="K123" s="9" t="str">
        <v>通过</v>
      </c>
      <c r="L123" s="9" t="str">
        <v>通过</v>
      </c>
      <c r="M123" s="10" t="str">
        <v>通过</v>
      </c>
    </row>
    <row r="124">
      <c r="A124" s="9" t="str">
        <v>WEB-20260717-OS-023</v>
      </c>
      <c r="B124" s="9" t="str">
        <v>os</v>
      </c>
      <c r="C124" s="9" t="str">
        <v>single</v>
      </c>
      <c r="D124" s="9" t="str">
        <v>linux-mm|riscv-priv</v>
      </c>
      <c r="E124" s="9" t="str">
        <v>page tables|address translation and TLB behavior</v>
      </c>
      <c r="F124" s="9" t="str">
        <v>zh-CN</v>
      </c>
      <c r="G124" s="9" t="str">
        <v>TLB 未命中与页表无有效映射导致的页故障是不同事件。</v>
      </c>
      <c r="H124" s="9" t="str">
        <v>sources_core_cs</v>
      </c>
      <c r="I124" s="9" t="str">
        <v>sources_cpp_linux</v>
      </c>
      <c r="J124" s="9" t="str">
        <v>通过</v>
      </c>
      <c r="K124" s="9" t="str">
        <v>通过</v>
      </c>
      <c r="L124" s="9" t="str">
        <v>通过</v>
      </c>
      <c r="M124" s="10" t="str">
        <v>通过</v>
      </c>
    </row>
    <row r="125">
      <c r="A125" s="9" t="str">
        <v>WEB-20260717-OS-024</v>
      </c>
      <c r="B125" s="9" t="str">
        <v>os</v>
      </c>
      <c r="C125" s="9" t="str">
        <v>single</v>
      </c>
      <c r="D125" s="9" t="str">
        <v>xv6-book|riscv-priv</v>
      </c>
      <c r="E125" s="9" t="str">
        <v>page tables and page size|virtual memory address translation</v>
      </c>
      <c r="F125" s="9" t="str">
        <v>zh-CN</v>
      </c>
      <c r="G125" s="9" t="str">
        <v>4 KiB 页面需要 12 位页内偏移。</v>
      </c>
      <c r="H125" s="9" t="str">
        <v>sources_core_cs</v>
      </c>
      <c r="I125" s="9" t="str">
        <v>sources_cpp_linux</v>
      </c>
      <c r="J125" s="9" t="str">
        <v>通过</v>
      </c>
      <c r="K125" s="9" t="str">
        <v>通过</v>
      </c>
      <c r="L125" s="9" t="str">
        <v>通过</v>
      </c>
      <c r="M125" s="10" t="str">
        <v>通过</v>
      </c>
    </row>
    <row r="126">
      <c r="A126" s="9" t="str">
        <v>WEB-20260717-OS-025</v>
      </c>
      <c r="B126" s="9" t="str">
        <v>os</v>
      </c>
      <c r="C126" s="9" t="str">
        <v>single</v>
      </c>
      <c r="D126" s="9" t="str">
        <v>xv6-book|linux-mm</v>
      </c>
      <c r="E126" s="9" t="str">
        <v>page faults and copy-on-write|process addresses and page allocation</v>
      </c>
      <c r="F126" s="9" t="str">
        <v>zh-CN</v>
      </c>
      <c r="G126" s="9" t="str">
        <v>写时复制在首次写故障时建立进程私有可写页面。</v>
      </c>
      <c r="H126" s="9" t="str">
        <v>sources_core_cs</v>
      </c>
      <c r="I126" s="9" t="str">
        <v>sources_cpp_linux</v>
      </c>
      <c r="J126" s="9" t="str">
        <v>通过</v>
      </c>
      <c r="K126" s="9" t="str">
        <v>通过</v>
      </c>
      <c r="L126" s="9" t="str">
        <v>通过</v>
      </c>
      <c r="M126" s="10" t="str">
        <v>通过</v>
      </c>
    </row>
    <row r="127">
      <c r="A127" s="9" t="str">
        <v>WEB-20260717-OS-026</v>
      </c>
      <c r="B127" s="9" t="str">
        <v>os</v>
      </c>
      <c r="C127" s="9" t="str">
        <v>single</v>
      </c>
      <c r="D127" s="9" t="str">
        <v>linux-mm</v>
      </c>
      <c r="E127" s="9" t="str">
        <v>page reclaim, swap and process addresses</v>
      </c>
      <c r="F127" s="9" t="str">
        <v>zh-CN</v>
      </c>
      <c r="G127" s="9" t="str">
        <v>工作集超过可用内存可能导致频繁换页和系统抖动。</v>
      </c>
      <c r="H127" s="9" t="str">
        <v>sources_core_cs</v>
      </c>
      <c r="I127" s="9" t="str">
        <v>sources_cpp_linux</v>
      </c>
      <c r="J127" s="9" t="str">
        <v>通过</v>
      </c>
      <c r="K127" s="9" t="str">
        <v>通过</v>
      </c>
      <c r="L127" s="9" t="str">
        <v>通过</v>
      </c>
      <c r="M127" s="10" t="str">
        <v>通过</v>
      </c>
    </row>
    <row r="128">
      <c r="A128" s="9" t="str">
        <v>WEB-20260717-OS-027</v>
      </c>
      <c r="B128" s="9" t="str">
        <v>os</v>
      </c>
      <c r="C128" s="9" t="str">
        <v>single</v>
      </c>
      <c r="D128" s="9" t="str">
        <v>xv6-book|linux-mm</v>
      </c>
      <c r="E128" s="9" t="str">
        <v>page allocation|physical memory and page allocation</v>
      </c>
      <c r="F128" s="9" t="str">
        <v>zh-CN</v>
      </c>
      <c r="G128" s="9" t="str">
        <v>固定分配块内部未用空间属于内部碎片。</v>
      </c>
      <c r="H128" s="9" t="str">
        <v>sources_core_cs</v>
      </c>
      <c r="I128" s="9" t="str">
        <v>sources_cpp_linux</v>
      </c>
      <c r="J128" s="9" t="str">
        <v>通过</v>
      </c>
      <c r="K128" s="9" t="str">
        <v>通过</v>
      </c>
      <c r="L128" s="9" t="str">
        <v>通过</v>
      </c>
      <c r="M128" s="10" t="str">
        <v>通过</v>
      </c>
    </row>
    <row r="129">
      <c r="A129" s="9" t="str">
        <v>WEB-20260717-OS-028</v>
      </c>
      <c r="B129" s="9" t="str">
        <v>os</v>
      </c>
      <c r="C129" s="9" t="str">
        <v>single</v>
      </c>
      <c r="D129" s="9" t="str">
        <v>linux-mm</v>
      </c>
      <c r="E129" s="9" t="str">
        <v>page reclaim, swap and page cache</v>
      </c>
      <c r="F129" s="9" t="str">
        <v>zh-CN</v>
      </c>
      <c r="G129" s="9" t="str">
        <v>脏页回收前通常需写回，干净可重建页可能直接丢弃。</v>
      </c>
      <c r="H129" s="9" t="str">
        <v>sources_core_cs</v>
      </c>
      <c r="I129" s="9" t="str">
        <v>sources_cpp_linux</v>
      </c>
      <c r="J129" s="9" t="str">
        <v>通过</v>
      </c>
      <c r="K129" s="9" t="str">
        <v>通过</v>
      </c>
      <c r="L129" s="9" t="str">
        <v>通过</v>
      </c>
      <c r="M129" s="10" t="str">
        <v>通过</v>
      </c>
    </row>
    <row r="130">
      <c r="A130" s="9" t="str">
        <v>WEB-20260717-OS-029</v>
      </c>
      <c r="B130" s="9" t="str">
        <v>os</v>
      </c>
      <c r="C130" s="9" t="str">
        <v>multiple</v>
      </c>
      <c r="D130" s="9" t="str">
        <v>riscv-priv|linux-mm</v>
      </c>
      <c r="E130" s="9" t="str">
        <v>page-table entries and permissions|page tables</v>
      </c>
      <c r="F130" s="9" t="str">
        <v>zh-CN</v>
      </c>
      <c r="G130" s="9" t="str">
        <v>页表项同时承载地址映射和访问保护相关状态。</v>
      </c>
      <c r="H130" s="9" t="str">
        <v>sources_core_cs</v>
      </c>
      <c r="I130" s="9" t="str">
        <v>sources_cpp_linux</v>
      </c>
      <c r="J130" s="9" t="str">
        <v>通过</v>
      </c>
      <c r="K130" s="9" t="str">
        <v>通过</v>
      </c>
      <c r="L130" s="9" t="str">
        <v>通过</v>
      </c>
      <c r="M130" s="10" t="str">
        <v>通过</v>
      </c>
    </row>
    <row r="131">
      <c r="A131" s="9" t="str">
        <v>WEB-20260717-OS-030</v>
      </c>
      <c r="B131" s="9" t="str">
        <v>os</v>
      </c>
      <c r="C131" s="9" t="str">
        <v>multiple</v>
      </c>
      <c r="D131" s="9" t="str">
        <v>linux-mm</v>
      </c>
      <c r="E131" s="9" t="str">
        <v>page reclaim and active memory management</v>
      </c>
      <c r="F131" s="9" t="str">
        <v>zh-CN</v>
      </c>
      <c r="G131" s="9" t="str">
        <v>页面置换在未知未来访问下权衡重用概率和回收成本。</v>
      </c>
      <c r="H131" s="9" t="str">
        <v>sources_core_cs</v>
      </c>
      <c r="I131" s="9" t="str">
        <v>sources_cpp_linux</v>
      </c>
      <c r="J131" s="9" t="str">
        <v>通过</v>
      </c>
      <c r="K131" s="9" t="str">
        <v>通过</v>
      </c>
      <c r="L131" s="9" t="str">
        <v>通过</v>
      </c>
      <c r="M131" s="10" t="str">
        <v>通过</v>
      </c>
    </row>
    <row r="132">
      <c r="A132" s="9" t="str">
        <v>WEB-20260717-OS-031</v>
      </c>
      <c r="B132" s="9" t="str">
        <v>os</v>
      </c>
      <c r="C132" s="9" t="str">
        <v>judge</v>
      </c>
      <c r="D132" s="9" t="str">
        <v>linux-mm|xv6-book</v>
      </c>
      <c r="E132" s="9" t="str">
        <v>process addresses and page fault handling|page tables</v>
      </c>
      <c r="F132" s="9" t="str">
        <v>zh-CN</v>
      </c>
      <c r="G132" s="9" t="str">
        <v>虚拟页不必全部常驻物理内存，可按需建立或恢复映射。</v>
      </c>
      <c r="H132" s="9" t="str">
        <v>sources_core_cs</v>
      </c>
      <c r="I132" s="9" t="str">
        <v>sources_cpp_linux</v>
      </c>
      <c r="J132" s="9" t="str">
        <v>通过</v>
      </c>
      <c r="K132" s="9" t="str">
        <v>通过</v>
      </c>
      <c r="L132" s="9" t="str">
        <v>通过</v>
      </c>
      <c r="M132" s="10" t="str">
        <v>通过</v>
      </c>
    </row>
    <row r="133">
      <c r="A133" s="9" t="str">
        <v>WEB-20260717-OS-032</v>
      </c>
      <c r="B133" s="9" t="str">
        <v>os</v>
      </c>
      <c r="C133" s="9" t="str">
        <v>fill_blank</v>
      </c>
      <c r="D133" s="9" t="str">
        <v>riscv-priv|xv6-book</v>
      </c>
      <c r="E133" s="9" t="str">
        <v>virtual address translation|page tables</v>
      </c>
      <c r="F133" s="9" t="str">
        <v>zh-CN</v>
      </c>
      <c r="G133" s="9" t="str">
        <v>分页转换保留页内偏移，仅转换虚拟页号。</v>
      </c>
      <c r="H133" s="9" t="str">
        <v>sources_core_cs</v>
      </c>
      <c r="I133" s="9" t="str">
        <v>sources_cpp_linux</v>
      </c>
      <c r="J133" s="9" t="str">
        <v>通过</v>
      </c>
      <c r="K133" s="9" t="str">
        <v>通过</v>
      </c>
      <c r="L133" s="9" t="str">
        <v>通过</v>
      </c>
      <c r="M133" s="10" t="str">
        <v>通过</v>
      </c>
    </row>
    <row r="134">
      <c r="A134" s="9" t="str">
        <v>WEB-20260717-OS-033</v>
      </c>
      <c r="B134" s="9" t="str">
        <v>os</v>
      </c>
      <c r="C134" s="9" t="str">
        <v>single</v>
      </c>
      <c r="D134" s="9" t="str">
        <v>xv6-book|posix-2024</v>
      </c>
      <c r="E134" s="9" t="str">
        <v>file system links and unlink|link and unlink interfaces</v>
      </c>
      <c r="F134" s="9" t="str">
        <v>zh-CN</v>
      </c>
      <c r="G134" s="9" t="str">
        <v>删除一个硬链接只移除一个名称，剩余链接仍可访问文件。</v>
      </c>
      <c r="H134" s="9" t="str">
        <v>sources_core_cs</v>
      </c>
      <c r="I134" s="9" t="str">
        <v>sources_cpp_linux</v>
      </c>
      <c r="J134" s="9" t="str">
        <v>通过</v>
      </c>
      <c r="K134" s="9" t="str">
        <v>通过</v>
      </c>
      <c r="L134" s="9" t="str">
        <v>通过</v>
      </c>
      <c r="M134" s="10" t="str">
        <v>通过</v>
      </c>
    </row>
    <row r="135">
      <c r="A135" s="9" t="str">
        <v>WEB-20260717-OS-034</v>
      </c>
      <c r="B135" s="9" t="str">
        <v>os</v>
      </c>
      <c r="C135" s="9" t="str">
        <v>single</v>
      </c>
      <c r="D135" s="9" t="str">
        <v>posix-2024|linux-filesystems</v>
      </c>
      <c r="E135" s="9" t="str">
        <v>rename interface semantics|VFS pathname and directory operations</v>
      </c>
      <c r="F135" s="9" t="str">
        <v>zh-CN</v>
      </c>
      <c r="G135" s="9" t="str">
        <v>rename 提供名称空间原子替换，但不自动等同于掉电持久化。</v>
      </c>
      <c r="H135" s="9" t="str">
        <v>sources_core_cs</v>
      </c>
      <c r="I135" s="9" t="str">
        <v>sources_cpp_linux</v>
      </c>
      <c r="J135" s="9" t="str">
        <v>通过</v>
      </c>
      <c r="K135" s="9" t="str">
        <v>通过</v>
      </c>
      <c r="L135" s="9" t="str">
        <v>通过</v>
      </c>
      <c r="M135" s="10" t="str">
        <v>通过</v>
      </c>
    </row>
    <row r="136">
      <c r="A136" s="9" t="str">
        <v>WEB-20260717-OS-035</v>
      </c>
      <c r="B136" s="9" t="str">
        <v>os</v>
      </c>
      <c r="C136" s="9" t="str">
        <v>single</v>
      </c>
      <c r="D136" s="9" t="str">
        <v>posix-2024|linux-filesystems</v>
      </c>
      <c r="E136" s="9" t="str">
        <v>fsync interface|filesystem writeback and VFS</v>
      </c>
      <c r="F136" s="9" t="str">
        <v>zh-CN</v>
      </c>
      <c r="G136" s="9" t="str">
        <v>fsync 的保证范围不能无条件扩展到文件系统中所有文件。</v>
      </c>
      <c r="H136" s="9" t="str">
        <v>sources_core_cs</v>
      </c>
      <c r="I136" s="9" t="str">
        <v>sources_cpp_linux</v>
      </c>
      <c r="J136" s="9" t="str">
        <v>通过</v>
      </c>
      <c r="K136" s="9" t="str">
        <v>通过</v>
      </c>
      <c r="L136" s="9" t="str">
        <v>通过</v>
      </c>
      <c r="M136" s="10" t="str">
        <v>通过</v>
      </c>
    </row>
    <row r="137">
      <c r="A137" s="9" t="str">
        <v>WEB-20260717-OS-036</v>
      </c>
      <c r="B137" s="9" t="str">
        <v>os</v>
      </c>
      <c r="C137" s="9" t="str">
        <v>single</v>
      </c>
      <c r="D137" s="9" t="str">
        <v>posix-2024|linux-filesystems</v>
      </c>
      <c r="E137" s="9" t="str">
        <v>file offsets and sparse regions|filesystem mapping</v>
      </c>
      <c r="F137" s="9" t="str">
        <v>zh-CN</v>
      </c>
      <c r="G137" s="9" t="str">
        <v>稀疏文件的逻辑空洞可不占用对应的数据块。</v>
      </c>
      <c r="H137" s="9" t="str">
        <v>sources_core_cs</v>
      </c>
      <c r="I137" s="9" t="str">
        <v>sources_cpp_linux</v>
      </c>
      <c r="J137" s="9" t="str">
        <v>通过</v>
      </c>
      <c r="K137" s="9" t="str">
        <v>通过</v>
      </c>
      <c r="L137" s="9" t="str">
        <v>通过</v>
      </c>
      <c r="M137" s="10" t="str">
        <v>通过</v>
      </c>
    </row>
    <row r="138">
      <c r="A138" s="9" t="str">
        <v>WEB-20260717-OS-037</v>
      </c>
      <c r="B138" s="9" t="str">
        <v>os</v>
      </c>
      <c r="C138" s="9" t="str">
        <v>single</v>
      </c>
      <c r="D138" s="9" t="str">
        <v>posix-2024|linux-filesystems</v>
      </c>
      <c r="E138" s="9" t="str">
        <v>file access permissions and pathname resolution|pathname lookup</v>
      </c>
      <c r="F138" s="9" t="str">
        <v>zh-CN</v>
      </c>
      <c r="G138" s="9" t="str">
        <v>目录列出权限与路径搜索权限是不同能力。</v>
      </c>
      <c r="H138" s="9" t="str">
        <v>sources_core_cs</v>
      </c>
      <c r="I138" s="9" t="str">
        <v>sources_cpp_linux</v>
      </c>
      <c r="J138" s="9" t="str">
        <v>通过</v>
      </c>
      <c r="K138" s="9" t="str">
        <v>通过</v>
      </c>
      <c r="L138" s="9" t="str">
        <v>通过</v>
      </c>
      <c r="M138" s="10" t="str">
        <v>通过</v>
      </c>
    </row>
    <row r="139">
      <c r="A139" s="9" t="str">
        <v>WEB-20260717-OS-038</v>
      </c>
      <c r="B139" s="9" t="str">
        <v>os</v>
      </c>
      <c r="C139" s="9" t="str">
        <v>single</v>
      </c>
      <c r="D139" s="9" t="str">
        <v>posix-2024|xv6-book</v>
      </c>
      <c r="E139" s="9" t="str">
        <v>dup and open file description|file descriptor implementation</v>
      </c>
      <c r="F139" s="9" t="str">
        <v>zh-CN</v>
      </c>
      <c r="G139" s="9" t="str">
        <v>dup 后的描述符共享同一打开文件描述及其偏移。</v>
      </c>
      <c r="H139" s="9" t="str">
        <v>sources_core_cs</v>
      </c>
      <c r="I139" s="9" t="str">
        <v>sources_cpp_linux</v>
      </c>
      <c r="J139" s="9" t="str">
        <v>通过</v>
      </c>
      <c r="K139" s="9" t="str">
        <v>通过</v>
      </c>
      <c r="L139" s="9" t="str">
        <v>通过</v>
      </c>
      <c r="M139" s="10" t="str">
        <v>通过</v>
      </c>
    </row>
    <row r="140">
      <c r="A140" s="9" t="str">
        <v>WEB-20260717-OS-039</v>
      </c>
      <c r="B140" s="9" t="str">
        <v>os</v>
      </c>
      <c r="C140" s="9" t="str">
        <v>multiple</v>
      </c>
      <c r="D140" s="9" t="str">
        <v>xv6-book|linux-filesystems</v>
      </c>
      <c r="E140" s="9" t="str">
        <v>xv6 file-system logging|Linux journalling API</v>
      </c>
      <c r="F140" s="9" t="str">
        <v>zh-CN</v>
      </c>
      <c r="G140" s="9" t="str">
        <v>日志提升崩溃一致性，但不等于完整备份或硬件容错。</v>
      </c>
      <c r="H140" s="9" t="str">
        <v>sources_core_cs</v>
      </c>
      <c r="I140" s="9" t="str">
        <v>sources_cpp_linux</v>
      </c>
      <c r="J140" s="9" t="str">
        <v>通过</v>
      </c>
      <c r="K140" s="9" t="str">
        <v>通过</v>
      </c>
      <c r="L140" s="9" t="str">
        <v>通过</v>
      </c>
      <c r="M140" s="10" t="str">
        <v>通过</v>
      </c>
    </row>
    <row r="141">
      <c r="A141" s="9" t="str">
        <v>WEB-20260717-OS-040</v>
      </c>
      <c r="B141" s="9" t="str">
        <v>os</v>
      </c>
      <c r="C141" s="9" t="str">
        <v>judge</v>
      </c>
      <c r="D141" s="9" t="str">
        <v>posix-2024|linux-filesystems</v>
      </c>
      <c r="E141" s="9" t="str">
        <v>symbolic link interfaces|pathname lookup among symlinks</v>
      </c>
      <c r="F141" s="9" t="str">
        <v>zh-CN</v>
      </c>
      <c r="G141" s="9" t="str">
        <v>符号链接可保存暂时无法解析的目标路径。</v>
      </c>
      <c r="H141" s="9" t="str">
        <v>sources_core_cs</v>
      </c>
      <c r="I141" s="9" t="str">
        <v>sources_cpp_linux</v>
      </c>
      <c r="J141" s="9" t="str">
        <v>通过</v>
      </c>
      <c r="K141" s="9" t="str">
        <v>通过</v>
      </c>
      <c r="L141" s="9" t="str">
        <v>通过</v>
      </c>
      <c r="M141" s="10" t="str">
        <v>通过</v>
      </c>
    </row>
    <row r="142">
      <c r="A142" s="9" t="str">
        <v>WEB-20260717-OS-041</v>
      </c>
      <c r="B142" s="9" t="str">
        <v>os</v>
      </c>
      <c r="C142" s="9" t="str">
        <v>fill_blank</v>
      </c>
      <c r="D142" s="9" t="str">
        <v>linux-filesystems</v>
      </c>
      <c r="E142" s="9" t="str">
        <v>Directory Entry Cache dcache</v>
      </c>
      <c r="F142" s="9" t="str">
        <v>zh-CN</v>
      </c>
      <c r="G142" s="9" t="str">
        <v>Linux dcache 缓存目录项并加速路径名解析。</v>
      </c>
      <c r="H142" s="9" t="str">
        <v>sources_core_cs</v>
      </c>
      <c r="I142" s="9" t="str">
        <v>sources_cpp_linux</v>
      </c>
      <c r="J142" s="9" t="str">
        <v>通过</v>
      </c>
      <c r="K142" s="9" t="str">
        <v>通过</v>
      </c>
      <c r="L142" s="9" t="str">
        <v>通过</v>
      </c>
      <c r="M142" s="10" t="str">
        <v>通过</v>
      </c>
    </row>
    <row r="143">
      <c r="A143" s="9" t="str">
        <v>WEB-20260717-OS-042</v>
      </c>
      <c r="B143" s="9" t="str">
        <v>os</v>
      </c>
      <c r="C143" s="9" t="str">
        <v>short_answer</v>
      </c>
      <c r="D143" s="9" t="str">
        <v>xv6-book|linux-filesystems|posix-2024</v>
      </c>
      <c r="E143" s="9" t="str">
        <v>xv6 file descriptors|VFS file and inode objects|open file descriptions</v>
      </c>
      <c r="F143" s="9" t="str">
        <v>zh-CN</v>
      </c>
      <c r="G143" s="9" t="str">
        <v>进程句柄、打开实例和持久文件对象是三个不同抽象层。</v>
      </c>
      <c r="H143" s="9" t="str">
        <v>sources_core_cs</v>
      </c>
      <c r="I143" s="9" t="str">
        <v>sources_cpp_linux</v>
      </c>
      <c r="J143" s="9" t="str">
        <v>通过</v>
      </c>
      <c r="K143" s="9" t="str">
        <v>通过</v>
      </c>
      <c r="L143" s="9" t="str">
        <v>通过</v>
      </c>
      <c r="M143" s="10" t="str">
        <v>通过</v>
      </c>
    </row>
    <row r="144">
      <c r="A144" s="9" t="str">
        <v>WEB-20260717-OS-043</v>
      </c>
      <c r="B144" s="9" t="str">
        <v>os</v>
      </c>
      <c r="C144" s="9" t="str">
        <v>single</v>
      </c>
      <c r="D144" s="9" t="str">
        <v>xv6-book|riscv-priv</v>
      </c>
      <c r="E144" s="9" t="str">
        <v>interrupts and device drivers|interrupt traps</v>
      </c>
      <c r="F144" s="9" t="str">
        <v>zh-CN</v>
      </c>
      <c r="G144" s="9" t="str">
        <v>低频异步事件使用中断可减少持续轮询的处理器浪费。</v>
      </c>
      <c r="H144" s="9" t="str">
        <v>sources_core_cs</v>
      </c>
      <c r="I144" s="9" t="str">
        <v>sources_cpp_linux</v>
      </c>
      <c r="J144" s="9" t="str">
        <v>通过</v>
      </c>
      <c r="K144" s="9" t="str">
        <v>通过</v>
      </c>
      <c r="L144" s="9" t="str">
        <v>通过</v>
      </c>
      <c r="M144" s="10" t="str">
        <v>通过</v>
      </c>
    </row>
    <row r="145">
      <c r="A145" s="9" t="str">
        <v>WEB-20260717-OS-044</v>
      </c>
      <c r="B145" s="9" t="str">
        <v>os</v>
      </c>
      <c r="C145" s="9" t="str">
        <v>single</v>
      </c>
      <c r="D145" s="9" t="str">
        <v>xv6-book|riscv-priv</v>
      </c>
      <c r="E145" s="9" t="str">
        <v>device drivers and DMA concepts|memory and I/O ordering</v>
      </c>
      <c r="F145" s="9" t="str">
        <v>zh-CN</v>
      </c>
      <c r="G145" s="9" t="str">
        <v>DMA 降低数据搬运负担，但 CPU 仍管理启动、缓冲和完成。</v>
      </c>
      <c r="H145" s="9" t="str">
        <v>sources_core_cs</v>
      </c>
      <c r="I145" s="9" t="str">
        <v>sources_cpp_linux</v>
      </c>
      <c r="J145" s="9" t="str">
        <v>通过</v>
      </c>
      <c r="K145" s="9" t="str">
        <v>通过</v>
      </c>
      <c r="L145" s="9" t="str">
        <v>通过</v>
      </c>
      <c r="M145" s="10" t="str">
        <v>通过</v>
      </c>
    </row>
    <row r="146">
      <c r="A146" s="9" t="str">
        <v>WEB-20260717-OS-045</v>
      </c>
      <c r="B146" s="9" t="str">
        <v>os</v>
      </c>
      <c r="C146" s="9" t="str">
        <v>single</v>
      </c>
      <c r="D146" s="9" t="str">
        <v>riscv-priv|xv6-source</v>
      </c>
      <c r="E146" s="9" t="str">
        <v>I/O memory ordering and PMAs|device register access implementations</v>
      </c>
      <c r="F146" s="9" t="str">
        <v>zh-CN</v>
      </c>
      <c r="G146" s="9" t="str">
        <v>MMIO 访问可能有副作用，其顺序和重复执行需谨慎。</v>
      </c>
      <c r="H146" s="9" t="str">
        <v>sources_core_cs</v>
      </c>
      <c r="I146" s="9" t="str">
        <v>sources_cpp_linux</v>
      </c>
      <c r="J146" s="9" t="str">
        <v>通过</v>
      </c>
      <c r="K146" s="9" t="str">
        <v>通过</v>
      </c>
      <c r="L146" s="9" t="str">
        <v>通过</v>
      </c>
      <c r="M146" s="10" t="str">
        <v>通过</v>
      </c>
    </row>
    <row r="147">
      <c r="A147" s="9" t="str">
        <v>WEB-20260717-OS-046</v>
      </c>
      <c r="B147" s="9" t="str">
        <v>os</v>
      </c>
      <c r="C147" s="9" t="str">
        <v>single</v>
      </c>
      <c r="D147" s="9" t="str">
        <v>linux-filesystems|xv6-book</v>
      </c>
      <c r="E147" s="9" t="str">
        <v>asynchronous and event interfaces|device interrupts</v>
      </c>
      <c r="F147" s="9" t="str">
        <v>zh-CN</v>
      </c>
      <c r="G147" s="9" t="str">
        <v>异步 I/O 将请求提交与完成处理解耦。</v>
      </c>
      <c r="H147" s="9" t="str">
        <v>sources_core_cs</v>
      </c>
      <c r="I147" s="9" t="str">
        <v>sources_cpp_linux</v>
      </c>
      <c r="J147" s="9" t="str">
        <v>通过</v>
      </c>
      <c r="K147" s="9" t="str">
        <v>通过</v>
      </c>
      <c r="L147" s="9" t="str">
        <v>通过</v>
      </c>
      <c r="M147" s="10" t="str">
        <v>通过</v>
      </c>
    </row>
    <row r="148">
      <c r="A148" s="9" t="str">
        <v>WEB-20260717-OS-047</v>
      </c>
      <c r="B148" s="9" t="str">
        <v>os</v>
      </c>
      <c r="C148" s="9" t="str">
        <v>multiple</v>
      </c>
      <c r="D148" s="9" t="str">
        <v>linux-filesystems|xv6-book</v>
      </c>
      <c r="E148" s="9" t="str">
        <v>page cache and writeback|buffering and buffer cache</v>
      </c>
      <c r="F148" s="9" t="str">
        <v>zh-CN</v>
      </c>
      <c r="G148" s="9" t="str">
        <v>缓冲协调传输过程，缓存保留可复用副本，脏缓存回收通常涉及写回。</v>
      </c>
      <c r="H148" s="9" t="str">
        <v>sources_core_cs</v>
      </c>
      <c r="I148" s="9" t="str">
        <v>sources_cpp_linux</v>
      </c>
      <c r="J148" s="9" t="str">
        <v>通过</v>
      </c>
      <c r="K148" s="9" t="str">
        <v>通过</v>
      </c>
      <c r="L148" s="9" t="str">
        <v>通过</v>
      </c>
      <c r="M148" s="10" t="str">
        <v>通过</v>
      </c>
    </row>
    <row r="149">
      <c r="A149" s="9" t="str">
        <v>WEB-20260717-OS-048</v>
      </c>
      <c r="B149" s="9" t="str">
        <v>os</v>
      </c>
      <c r="C149" s="9" t="str">
        <v>judge</v>
      </c>
      <c r="D149" s="9" t="str">
        <v>xv6-book|riscv-priv</v>
      </c>
      <c r="E149" s="9" t="str">
        <v>system calls and traps|synchronous exceptions versus interrupts</v>
      </c>
      <c r="F149" s="9" t="str">
        <v>zh-CN</v>
      </c>
      <c r="G149" s="9" t="str">
        <v>系统调用是软件主动触发的同步特权转换，不依赖外部中断。</v>
      </c>
      <c r="H149" s="9" t="str">
        <v>sources_core_cs</v>
      </c>
      <c r="I149" s="9" t="str">
        <v>sources_cpp_linux</v>
      </c>
      <c r="J149" s="9" t="str">
        <v>通过</v>
      </c>
      <c r="K149" s="9" t="str">
        <v>通过</v>
      </c>
      <c r="L149" s="9" t="str">
        <v>通过</v>
      </c>
      <c r="M149" s="10" t="str">
        <v>通过</v>
      </c>
    </row>
    <row r="150">
      <c r="A150" s="9" t="str">
        <v>WEB-20260717-OS-049</v>
      </c>
      <c r="B150" s="9" t="str">
        <v>os</v>
      </c>
      <c r="C150" s="9" t="str">
        <v>short_answer</v>
      </c>
      <c r="D150" s="9" t="str">
        <v>xv6-book|riscv-priv</v>
      </c>
      <c r="E150" s="9" t="str">
        <v>device drivers and interrupts|I/O memory and interrupt architecture</v>
      </c>
      <c r="F150" s="9" t="str">
        <v>zh-CN</v>
      </c>
      <c r="G150" s="9" t="str">
        <v>轮询、中断和 DMA 对 CPU 的状态检测与数据搬运负担不同。</v>
      </c>
      <c r="H150" s="9" t="str">
        <v>sources_core_cs</v>
      </c>
      <c r="I150" s="9" t="str">
        <v>sources_cpp_linux</v>
      </c>
      <c r="J150" s="9" t="str">
        <v>通过</v>
      </c>
      <c r="K150" s="9" t="str">
        <v>通过</v>
      </c>
      <c r="L150" s="9" t="str">
        <v>通过</v>
      </c>
      <c r="M150" s="10" t="str">
        <v>通过</v>
      </c>
    </row>
    <row r="151">
      <c r="A151" s="9" t="str">
        <v>WEB-20260717-OS-050</v>
      </c>
      <c r="B151" s="9" t="str">
        <v>os</v>
      </c>
      <c r="C151" s="9" t="str">
        <v>short_answer</v>
      </c>
      <c r="D151" s="9" t="str">
        <v>riscv-priv|xv6-book</v>
      </c>
      <c r="E151" s="9" t="str">
        <v>privilege protection and I/O|device drivers</v>
      </c>
      <c r="F151" s="9" t="str">
        <v>zh-CN</v>
      </c>
      <c r="G151" s="9" t="str">
        <v>设备控制需由特权内核仲裁，以保护隔离和共享资源。</v>
      </c>
      <c r="H151" s="9" t="str">
        <v>sources_core_cs</v>
      </c>
      <c r="I151" s="9" t="str">
        <v>sources_cpp_linux</v>
      </c>
      <c r="J151" s="9" t="str">
        <v>通过</v>
      </c>
      <c r="K151" s="9" t="str">
        <v>通过</v>
      </c>
      <c r="L151" s="9" t="str">
        <v>通过</v>
      </c>
      <c r="M151" s="10" t="str">
        <v>通过</v>
      </c>
    </row>
    <row r="152">
      <c r="A152" s="9" t="str">
        <v>WEB-20260717-DS-001</v>
      </c>
      <c r="B152" s="9" t="str">
        <v>ds</v>
      </c>
      <c r="C152" s="9" t="str">
        <v>single</v>
      </c>
      <c r="D152" s="9" t="str">
        <v>ods|nist-dads</v>
      </c>
      <c r="E152" s="9" t="str">
        <v>Analysis of Algorithms|asymptotic upper bound and big-O</v>
      </c>
      <c r="F152" s="9" t="str">
        <v>zh-CN</v>
      </c>
      <c r="G152" s="9" t="str">
        <v>大 O 是渐近上界，不等于精确时间或默认的平均复杂度。</v>
      </c>
      <c r="H152" s="9" t="str">
        <v>sources_core_cs</v>
      </c>
      <c r="I152" s="9" t="str">
        <v>sources_cpp_linux</v>
      </c>
      <c r="J152" s="9" t="str">
        <v>通过</v>
      </c>
      <c r="K152" s="9" t="str">
        <v>通过</v>
      </c>
      <c r="L152" s="9" t="str">
        <v>通过</v>
      </c>
      <c r="M152" s="10" t="str">
        <v>通过</v>
      </c>
    </row>
    <row r="153">
      <c r="A153" s="9" t="str">
        <v>WEB-20260717-DS-002</v>
      </c>
      <c r="B153" s="9" t="str">
        <v>ds</v>
      </c>
      <c r="C153" s="9" t="str">
        <v>single</v>
      </c>
      <c r="D153" s="9" t="str">
        <v>ods|ods-cpp</v>
      </c>
      <c r="E153" s="9" t="str">
        <v>ArrayStack amortized analysis|array-based lists</v>
      </c>
      <c r="F153" s="9" t="str">
        <v>zh-CN</v>
      </c>
      <c r="G153" s="9" t="str">
        <v>摊还分析研究操作序列总成本，不等同于概率平均。</v>
      </c>
      <c r="H153" s="9" t="str">
        <v>sources_core_cs</v>
      </c>
      <c r="I153" s="9" t="str">
        <v>sources_cpp_linux</v>
      </c>
      <c r="J153" s="9" t="str">
        <v>通过</v>
      </c>
      <c r="K153" s="9" t="str">
        <v>通过</v>
      </c>
      <c r="L153" s="9" t="str">
        <v>通过</v>
      </c>
      <c r="M153" s="10" t="str">
        <v>通过</v>
      </c>
    </row>
    <row r="154">
      <c r="A154" s="9" t="str">
        <v>WEB-20260717-DS-003</v>
      </c>
      <c r="B154" s="9" t="str">
        <v>ds</v>
      </c>
      <c r="C154" s="9" t="str">
        <v>single</v>
      </c>
      <c r="D154" s="9" t="str">
        <v>nist-dads|ods</v>
      </c>
      <c r="E154" s="9" t="str">
        <v>abstract data type|Interfaces and implementations</v>
      </c>
      <c r="F154" s="9" t="str">
        <v>zh-CN</v>
      </c>
      <c r="G154" s="9" t="str">
        <v>ADT 描述操作语义，实现可采用不同底层结构。</v>
      </c>
      <c r="H154" s="9" t="str">
        <v>sources_core_cs</v>
      </c>
      <c r="I154" s="9" t="str">
        <v>sources_cpp_linux</v>
      </c>
      <c r="J154" s="9" t="str">
        <v>通过</v>
      </c>
      <c r="K154" s="9" t="str">
        <v>通过</v>
      </c>
      <c r="L154" s="9" t="str">
        <v>通过</v>
      </c>
      <c r="M154" s="10" t="str">
        <v>通过</v>
      </c>
    </row>
    <row r="155">
      <c r="A155" s="9" t="str">
        <v>WEB-20260717-DS-004</v>
      </c>
      <c r="B155" s="9" t="str">
        <v>ds</v>
      </c>
      <c r="C155" s="9" t="str">
        <v>multiple</v>
      </c>
      <c r="D155" s="9" t="str">
        <v>ods|nist-dads</v>
      </c>
      <c r="E155" s="9" t="str">
        <v>asymptotic analysis|polynomial and exponential definitions</v>
      </c>
      <c r="F155" s="9" t="str">
        <v>zh-CN</v>
      </c>
      <c r="G155" s="9" t="str">
        <v>固定次数多项式可上界 n log n，但不能上界指数函数 2ⁿ。</v>
      </c>
      <c r="H155" s="9" t="str">
        <v>sources_core_cs</v>
      </c>
      <c r="I155" s="9" t="str">
        <v>sources_cpp_linux</v>
      </c>
      <c r="J155" s="9" t="str">
        <v>通过</v>
      </c>
      <c r="K155" s="9" t="str">
        <v>通过</v>
      </c>
      <c r="L155" s="9" t="str">
        <v>通过</v>
      </c>
      <c r="M155" s="10" t="str">
        <v>通过</v>
      </c>
    </row>
    <row r="156">
      <c r="A156" s="9" t="str">
        <v>WEB-20260717-DS-005</v>
      </c>
      <c r="B156" s="9" t="str">
        <v>ds</v>
      </c>
      <c r="C156" s="9" t="str">
        <v>fill_blank</v>
      </c>
      <c r="D156" s="9" t="str">
        <v>ods|opendsa</v>
      </c>
      <c r="E156" s="9" t="str">
        <v>Analysis of Algorithms geometric sums|algorithm analysis modules</v>
      </c>
      <c r="F156" s="9" t="str">
        <v>zh-CN</v>
      </c>
      <c r="G156" s="9" t="str">
        <v>按固定比例递减的 n+n/2+… 总和为线性紧确量级。</v>
      </c>
      <c r="H156" s="9" t="str">
        <v>sources_core_cs</v>
      </c>
      <c r="I156" s="9" t="str">
        <v>sources_cpp_linux</v>
      </c>
      <c r="J156" s="9" t="str">
        <v>通过</v>
      </c>
      <c r="K156" s="9" t="str">
        <v>通过</v>
      </c>
      <c r="L156" s="9" t="str">
        <v>通过</v>
      </c>
      <c r="M156" s="10" t="str">
        <v>通过</v>
      </c>
    </row>
    <row r="157">
      <c r="A157" s="9" t="str">
        <v>WEB-20260717-DS-006</v>
      </c>
      <c r="B157" s="9" t="str">
        <v>ds</v>
      </c>
      <c r="C157" s="9" t="str">
        <v>single</v>
      </c>
      <c r="D157" s="9" t="str">
        <v>ods|ods-cpp</v>
      </c>
      <c r="E157" s="9" t="str">
        <v>ArrayStack add operation|array-based lists</v>
      </c>
      <c r="F157" s="9" t="str">
        <v>zh-CN</v>
      </c>
      <c r="G157" s="9" t="str">
        <v>数组表首部插入即使容量足够也通常需要线性移位。</v>
      </c>
      <c r="H157" s="9" t="str">
        <v>sources_core_cs</v>
      </c>
      <c r="I157" s="9" t="str">
        <v>sources_cpp_linux</v>
      </c>
      <c r="J157" s="9" t="str">
        <v>通过</v>
      </c>
      <c r="K157" s="9" t="str">
        <v>通过</v>
      </c>
      <c r="L157" s="9" t="str">
        <v>通过</v>
      </c>
      <c r="M157" s="10" t="str">
        <v>通过</v>
      </c>
    </row>
    <row r="158">
      <c r="A158" s="9" t="str">
        <v>WEB-20260717-DS-007</v>
      </c>
      <c r="B158" s="9" t="str">
        <v>ds</v>
      </c>
      <c r="C158" s="9" t="str">
        <v>single</v>
      </c>
      <c r="D158" s="9" t="str">
        <v>ods|nist-dads</v>
      </c>
      <c r="E158" s="9" t="str">
        <v>SLList access pattern|linked list</v>
      </c>
      <c r="F158" s="9" t="str">
        <v>zh-CN</v>
      </c>
      <c r="G158" s="9" t="str">
        <v>链表不支持按下标计算地址，读取第 k 项通常需线性遍历。</v>
      </c>
      <c r="H158" s="9" t="str">
        <v>sources_core_cs</v>
      </c>
      <c r="I158" s="9" t="str">
        <v>sources_cpp_linux</v>
      </c>
      <c r="J158" s="9" t="str">
        <v>通过</v>
      </c>
      <c r="K158" s="9" t="str">
        <v>通过</v>
      </c>
      <c r="L158" s="9" t="str">
        <v>通过</v>
      </c>
      <c r="M158" s="10" t="str">
        <v>通过</v>
      </c>
    </row>
    <row r="159">
      <c r="A159" s="9" t="str">
        <v>WEB-20260717-DS-008</v>
      </c>
      <c r="B159" s="9" t="str">
        <v>ds</v>
      </c>
      <c r="C159" s="9" t="str">
        <v>single</v>
      </c>
      <c r="D159" s="9" t="str">
        <v>ods|ods-cpp</v>
      </c>
      <c r="E159" s="9" t="str">
        <v>ArrayStack resizing and amortized analysis|dynamic arrays</v>
      </c>
      <c r="F159" s="9" t="str">
        <v>zh-CN</v>
      </c>
      <c r="G159" s="9" t="str">
        <v>倍增扩容使历次复制量总和为线性，从而追加摊还为常数。</v>
      </c>
      <c r="H159" s="9" t="str">
        <v>sources_core_cs</v>
      </c>
      <c r="I159" s="9" t="str">
        <v>sources_cpp_linux</v>
      </c>
      <c r="J159" s="9" t="str">
        <v>通过</v>
      </c>
      <c r="K159" s="9" t="str">
        <v>通过</v>
      </c>
      <c r="L159" s="9" t="str">
        <v>通过</v>
      </c>
      <c r="M159" s="10" t="str">
        <v>通过</v>
      </c>
    </row>
    <row r="160">
      <c r="A160" s="9" t="str">
        <v>WEB-20260717-DS-009</v>
      </c>
      <c r="B160" s="9" t="str">
        <v>ds</v>
      </c>
      <c r="C160" s="9" t="str">
        <v>single</v>
      </c>
      <c r="D160" s="9" t="str">
        <v>ods|ods-cpp</v>
      </c>
      <c r="E160" s="9" t="str">
        <v>DLList remove operation|doubly linked lists</v>
      </c>
      <c r="F160" s="9" t="str">
        <v>zh-CN</v>
      </c>
      <c r="G160" s="9" t="str">
        <v>已知双链表结点时可直接重连相邻链接，删除为常数时间。</v>
      </c>
      <c r="H160" s="9" t="str">
        <v>sources_core_cs</v>
      </c>
      <c r="I160" s="9" t="str">
        <v>sources_cpp_linux</v>
      </c>
      <c r="J160" s="9" t="str">
        <v>通过</v>
      </c>
      <c r="K160" s="9" t="str">
        <v>通过</v>
      </c>
      <c r="L160" s="9" t="str">
        <v>通过</v>
      </c>
      <c r="M160" s="10" t="str">
        <v>通过</v>
      </c>
    </row>
    <row r="161">
      <c r="A161" s="9" t="str">
        <v>WEB-20260717-DS-010</v>
      </c>
      <c r="B161" s="9" t="str">
        <v>ds</v>
      </c>
      <c r="C161" s="9" t="str">
        <v>multiple</v>
      </c>
      <c r="D161" s="9" t="str">
        <v>ods|ods-cpp</v>
      </c>
      <c r="E161" s="9" t="str">
        <v>Array-based and linked lists|List implementations</v>
      </c>
      <c r="F161" s="9" t="str">
        <v>zh-CN</v>
      </c>
      <c r="G161" s="9" t="str">
        <v>数组擅长随机访问，链表擅长已知位置的链接修改。</v>
      </c>
      <c r="H161" s="9" t="str">
        <v>sources_core_cs</v>
      </c>
      <c r="I161" s="9" t="str">
        <v>sources_cpp_linux</v>
      </c>
      <c r="J161" s="9" t="str">
        <v>通过</v>
      </c>
      <c r="K161" s="9" t="str">
        <v>通过</v>
      </c>
      <c r="L161" s="9" t="str">
        <v>通过</v>
      </c>
      <c r="M161" s="10" t="str">
        <v>通过</v>
      </c>
    </row>
    <row r="162">
      <c r="A162" s="9" t="str">
        <v>WEB-20260717-DS-011</v>
      </c>
      <c r="B162" s="9" t="str">
        <v>ds</v>
      </c>
      <c r="C162" s="9" t="str">
        <v>judge</v>
      </c>
      <c r="D162" s="9" t="str">
        <v>ods|ods-cpp</v>
      </c>
      <c r="E162" s="9" t="str">
        <v>SLList operations|linked list access</v>
      </c>
      <c r="F162" s="9" t="str">
        <v>zh-CN</v>
      </c>
      <c r="G162" s="9" t="str">
        <v>尾指针不能把链表变成支持任意下标常数访问的结构。</v>
      </c>
      <c r="H162" s="9" t="str">
        <v>sources_core_cs</v>
      </c>
      <c r="I162" s="9" t="str">
        <v>sources_cpp_linux</v>
      </c>
      <c r="J162" s="9" t="str">
        <v>通过</v>
      </c>
      <c r="K162" s="9" t="str">
        <v>通过</v>
      </c>
      <c r="L162" s="9" t="str">
        <v>通过</v>
      </c>
      <c r="M162" s="10" t="str">
        <v>通过</v>
      </c>
    </row>
    <row r="163">
      <c r="A163" s="9" t="str">
        <v>WEB-20260717-DS-012</v>
      </c>
      <c r="B163" s="9" t="str">
        <v>ds</v>
      </c>
      <c r="C163" s="9" t="str">
        <v>single</v>
      </c>
      <c r="D163" s="9" t="str">
        <v>opendsa|nist-dads</v>
      </c>
      <c r="E163" s="9" t="str">
        <v>stack applications|stack definition</v>
      </c>
      <c r="F163" s="9" t="str">
        <v>zh-CN</v>
      </c>
      <c r="G163" s="9" t="str">
        <v>后缀表达式求值使用栈保存中间操作数。</v>
      </c>
      <c r="H163" s="9" t="str">
        <v>sources_core_cs</v>
      </c>
      <c r="I163" s="9" t="str">
        <v>sources_cpp_linux</v>
      </c>
      <c r="J163" s="9" t="str">
        <v>通过</v>
      </c>
      <c r="K163" s="9" t="str">
        <v>通过</v>
      </c>
      <c r="L163" s="9" t="str">
        <v>通过</v>
      </c>
      <c r="M163" s="10" t="str">
        <v>通过</v>
      </c>
    </row>
    <row r="164">
      <c r="A164" s="9" t="str">
        <v>WEB-20260717-DS-013</v>
      </c>
      <c r="B164" s="9" t="str">
        <v>ds</v>
      </c>
      <c r="C164" s="9" t="str">
        <v>single</v>
      </c>
      <c r="D164" s="9" t="str">
        <v>ods|opendsa</v>
      </c>
      <c r="E164" s="9" t="str">
        <v>Breadth-first search|queue-based traversals</v>
      </c>
      <c r="F164" s="9" t="str">
        <v>zh-CN</v>
      </c>
      <c r="G164" s="9" t="str">
        <v>FIFO 顺序维持 BFS 的逐层扩展。</v>
      </c>
      <c r="H164" s="9" t="str">
        <v>sources_core_cs</v>
      </c>
      <c r="I164" s="9" t="str">
        <v>sources_cpp_linux</v>
      </c>
      <c r="J164" s="9" t="str">
        <v>通过</v>
      </c>
      <c r="K164" s="9" t="str">
        <v>通过</v>
      </c>
      <c r="L164" s="9" t="str">
        <v>通过</v>
      </c>
      <c r="M164" s="10" t="str">
        <v>通过</v>
      </c>
    </row>
    <row r="165">
      <c r="A165" s="9" t="str">
        <v>WEB-20260717-DS-014</v>
      </c>
      <c r="B165" s="9" t="str">
        <v>ds</v>
      </c>
      <c r="C165" s="9" t="str">
        <v>single</v>
      </c>
      <c r="D165" s="9" t="str">
        <v>ods|nist-dads</v>
      </c>
      <c r="E165" s="9" t="str">
        <v>ArrayDeque|deque definition</v>
      </c>
      <c r="F165" s="9" t="str">
        <v>zh-CN</v>
      </c>
      <c r="G165" s="9" t="str">
        <v>双端队列支持两个端点的插入和删除。</v>
      </c>
      <c r="H165" s="9" t="str">
        <v>sources_core_cs</v>
      </c>
      <c r="I165" s="9" t="str">
        <v>sources_cpp_linux</v>
      </c>
      <c r="J165" s="9" t="str">
        <v>通过</v>
      </c>
      <c r="K165" s="9" t="str">
        <v>通过</v>
      </c>
      <c r="L165" s="9" t="str">
        <v>通过</v>
      </c>
      <c r="M165" s="10" t="str">
        <v>通过</v>
      </c>
    </row>
    <row r="166">
      <c r="A166" s="9" t="str">
        <v>WEB-20260717-DS-015</v>
      </c>
      <c r="B166" s="9" t="str">
        <v>ds</v>
      </c>
      <c r="C166" s="9" t="str">
        <v>multiple</v>
      </c>
      <c r="D166" s="9" t="str">
        <v>opendsa|nist-dads</v>
      </c>
      <c r="E166" s="9" t="str">
        <v>stack applications|last-in first-out</v>
      </c>
      <c r="F166" s="9" t="str">
        <v>zh-CN</v>
      </c>
      <c r="G166" s="9" t="str">
        <v>调用栈、括号匹配和最近操作撤销都依赖 LIFO。</v>
      </c>
      <c r="H166" s="9" t="str">
        <v>sources_core_cs</v>
      </c>
      <c r="I166" s="9" t="str">
        <v>sources_cpp_linux</v>
      </c>
      <c r="J166" s="9" t="str">
        <v>通过</v>
      </c>
      <c r="K166" s="9" t="str">
        <v>通过</v>
      </c>
      <c r="L166" s="9" t="str">
        <v>通过</v>
      </c>
      <c r="M166" s="10" t="str">
        <v>通过</v>
      </c>
    </row>
    <row r="167">
      <c r="A167" s="9" t="str">
        <v>WEB-20260717-DS-016</v>
      </c>
      <c r="B167" s="9" t="str">
        <v>ds</v>
      </c>
      <c r="C167" s="9" t="str">
        <v>judge</v>
      </c>
      <c r="D167" s="9" t="str">
        <v>ods|nist-dads</v>
      </c>
      <c r="E167" s="9" t="str">
        <v>queue interface|first-in first-out definition</v>
      </c>
      <c r="F167" s="9" t="str">
        <v>zh-CN</v>
      </c>
      <c r="G167" s="9" t="str">
        <v>FIFO 是顺序语义，不自动提供并发安全保证。</v>
      </c>
      <c r="H167" s="9" t="str">
        <v>sources_core_cs</v>
      </c>
      <c r="I167" s="9" t="str">
        <v>sources_cpp_linux</v>
      </c>
      <c r="J167" s="9" t="str">
        <v>通过</v>
      </c>
      <c r="K167" s="9" t="str">
        <v>通过</v>
      </c>
      <c r="L167" s="9" t="str">
        <v>通过</v>
      </c>
      <c r="M167" s="10" t="str">
        <v>通过</v>
      </c>
    </row>
    <row r="168">
      <c r="A168" s="9" t="str">
        <v>WEB-20260717-DS-017</v>
      </c>
      <c r="B168" s="9" t="str">
        <v>ds</v>
      </c>
      <c r="C168" s="9" t="str">
        <v>single</v>
      </c>
      <c r="D168" s="9" t="str">
        <v>opendsa|ods-cpp</v>
      </c>
      <c r="E168" s="9" t="str">
        <v>OpenDSA Multi-dimensional Arrays 1.11.4: inner loop crosses each row before the next row|Open Data Structures C++ Chapter 2: single backing array with indexed access</v>
      </c>
      <c r="F168" s="9" t="str">
        <v>row-major-linearized-array</v>
      </c>
      <c r="G168" s="9" t="str">
        <v>固定列数的二维表按行线性化到连续后备数组时，偏移为 row×columnCount+column。</v>
      </c>
      <c r="H168" s="9" t="str">
        <v>sources_core_cs</v>
      </c>
      <c r="I168" s="9" t="str">
        <v>author_network</v>
      </c>
      <c r="J168" s="9" t="str">
        <v>通过</v>
      </c>
      <c r="K168" s="9" t="str">
        <v>通过</v>
      </c>
      <c r="L168" s="9" t="str">
        <v>通过</v>
      </c>
      <c r="M168" s="10" t="str">
        <v>通过</v>
      </c>
    </row>
    <row r="169">
      <c r="A169" s="9" t="str">
        <v>WEB-20260717-DS-018</v>
      </c>
      <c r="B169" s="9" t="str">
        <v>ds</v>
      </c>
      <c r="C169" s="9" t="str">
        <v>single</v>
      </c>
      <c r="D169" s="9" t="str">
        <v>nist-dads|opendsa</v>
      </c>
      <c r="E169" s="9" t="str">
        <v>Knuth-Morris-Pratt algorithm|string matching modules</v>
      </c>
      <c r="F169" s="9" t="str">
        <v>zh-CN</v>
      </c>
      <c r="G169" s="9" t="str">
        <v>KMP 利用模式前缀信息避免文本位置回退和重复比较。</v>
      </c>
      <c r="H169" s="9" t="str">
        <v>sources_core_cs</v>
      </c>
      <c r="I169" s="9" t="str">
        <v>sources_cpp_linux</v>
      </c>
      <c r="J169" s="9" t="str">
        <v>通过</v>
      </c>
      <c r="K169" s="9" t="str">
        <v>通过</v>
      </c>
      <c r="L169" s="9" t="str">
        <v>通过</v>
      </c>
      <c r="M169" s="10" t="str">
        <v>通过</v>
      </c>
    </row>
    <row r="170">
      <c r="A170" s="9" t="str">
        <v>WEB-20260717-DS-019</v>
      </c>
      <c r="B170" s="9" t="str">
        <v>ds</v>
      </c>
      <c r="C170" s="9" t="str">
        <v>single</v>
      </c>
      <c r="D170" s="9" t="str">
        <v>ods|opendsa</v>
      </c>
      <c r="E170" s="9" t="str">
        <v>ArrayQueue circular array|circular queue implementation</v>
      </c>
      <c r="F170" s="9" t="str">
        <v>zh-CN</v>
      </c>
      <c r="G170" s="9" t="str">
        <v>循环队列留空一槽可在无额外状态时区分空与满。</v>
      </c>
      <c r="H170" s="9" t="str">
        <v>sources_core_cs</v>
      </c>
      <c r="I170" s="9" t="str">
        <v>sources_cpp_linux</v>
      </c>
      <c r="J170" s="9" t="str">
        <v>通过</v>
      </c>
      <c r="K170" s="9" t="str">
        <v>通过</v>
      </c>
      <c r="L170" s="9" t="str">
        <v>通过</v>
      </c>
      <c r="M170" s="10" t="str">
        <v>通过</v>
      </c>
    </row>
    <row r="171">
      <c r="A171" s="9" t="str">
        <v>WEB-20260717-DS-020</v>
      </c>
      <c r="B171" s="9" t="str">
        <v>ds</v>
      </c>
      <c r="C171" s="9" t="str">
        <v>judge</v>
      </c>
      <c r="D171" s="9" t="str">
        <v>nist-dads|opendsa</v>
      </c>
      <c r="E171" s="9" t="str">
        <v>brute force string search|string matching analysis</v>
      </c>
      <c r="F171" s="9" t="str">
        <v>zh-CN</v>
      </c>
      <c r="G171" s="9" t="str">
        <v>重复前缀可使朴素匹配达到文本长度与模式长度乘积级比较。</v>
      </c>
      <c r="H171" s="9" t="str">
        <v>sources_core_cs</v>
      </c>
      <c r="I171" s="9" t="str">
        <v>sources_cpp_linux</v>
      </c>
      <c r="J171" s="9" t="str">
        <v>通过</v>
      </c>
      <c r="K171" s="9" t="str">
        <v>通过</v>
      </c>
      <c r="L171" s="9" t="str">
        <v>通过</v>
      </c>
      <c r="M171" s="10" t="str">
        <v>通过</v>
      </c>
    </row>
    <row r="172">
      <c r="A172" s="9" t="str">
        <v>WEB-20260717-DS-021</v>
      </c>
      <c r="B172" s="9" t="str">
        <v>ds</v>
      </c>
      <c r="C172" s="9" t="str">
        <v>fill_blank</v>
      </c>
      <c r="D172" s="9" t="str">
        <v>opendsa</v>
      </c>
      <c r="E172" s="9" t="str">
        <v>OpenDSA Multi-dimensional Arrays 1.11.4: processing across each row and then down to the next row</v>
      </c>
      <c r="F172" s="9" t="str">
        <v>row-major-linearization</v>
      </c>
      <c r="G172" s="9" t="str">
        <v>行优先线性化按同一行各列、再下一行的顺序排列元素。</v>
      </c>
      <c r="H172" s="9" t="str">
        <v>sources_core_cs</v>
      </c>
      <c r="I172" s="9" t="str">
        <v>author_network</v>
      </c>
      <c r="J172" s="9" t="str">
        <v>通过</v>
      </c>
      <c r="K172" s="9" t="str">
        <v>通过</v>
      </c>
      <c r="L172" s="9" t="str">
        <v>通过</v>
      </c>
      <c r="M172" s="10" t="str">
        <v>通过</v>
      </c>
    </row>
    <row r="173">
      <c r="A173" s="9" t="str">
        <v>WEB-20260717-DS-022</v>
      </c>
      <c r="B173" s="9" t="str">
        <v>ds</v>
      </c>
      <c r="C173" s="9" t="str">
        <v>single</v>
      </c>
      <c r="D173" s="9" t="str">
        <v>ods|nist-dads</v>
      </c>
      <c r="E173" s="9" t="str">
        <v>BinarySearchTree traversal|binary search tree definition</v>
      </c>
      <c r="F173" s="9" t="str">
        <v>zh-CN</v>
      </c>
      <c r="G173" s="9" t="str">
        <v>互异键 BST 的中序遍历按键递增。</v>
      </c>
      <c r="H173" s="9" t="str">
        <v>sources_core_cs</v>
      </c>
      <c r="I173" s="9" t="str">
        <v>sources_cpp_linux</v>
      </c>
      <c r="J173" s="9" t="str">
        <v>通过</v>
      </c>
      <c r="K173" s="9" t="str">
        <v>通过</v>
      </c>
      <c r="L173" s="9" t="str">
        <v>通过</v>
      </c>
      <c r="M173" s="10" t="str">
        <v>通过</v>
      </c>
    </row>
    <row r="174">
      <c r="A174" s="9" t="str">
        <v>WEB-20260717-DS-023</v>
      </c>
      <c r="B174" s="9" t="str">
        <v>ds</v>
      </c>
      <c r="C174" s="9" t="str">
        <v>single</v>
      </c>
      <c r="D174" s="9" t="str">
        <v>nist-dads|opendsa</v>
      </c>
      <c r="E174" s="9" t="str">
        <v>complete binary tree|binary tree modules</v>
      </c>
      <c r="F174" s="9" t="str">
        <v>zh-CN</v>
      </c>
      <c r="G174" s="9" t="str">
        <v>完全二叉树最后一层从左连续填充，但不要求该层填满。</v>
      </c>
      <c r="H174" s="9" t="str">
        <v>sources_core_cs</v>
      </c>
      <c r="I174" s="9" t="str">
        <v>sources_cpp_linux</v>
      </c>
      <c r="J174" s="9" t="str">
        <v>通过</v>
      </c>
      <c r="K174" s="9" t="str">
        <v>通过</v>
      </c>
      <c r="L174" s="9" t="str">
        <v>通过</v>
      </c>
      <c r="M174" s="10" t="str">
        <v>通过</v>
      </c>
    </row>
    <row r="175">
      <c r="A175" s="9" t="str">
        <v>WEB-20260717-DS-024</v>
      </c>
      <c r="B175" s="9" t="str">
        <v>ds</v>
      </c>
      <c r="C175" s="9" t="str">
        <v>single</v>
      </c>
      <c r="D175" s="9" t="str">
        <v>ods|nist-dads</v>
      </c>
      <c r="E175" s="9" t="str">
        <v>BinaryHeap|heap property</v>
      </c>
      <c r="F175" s="9" t="str">
        <v>zh-CN</v>
      </c>
      <c r="G175" s="9" t="str">
        <v>堆序不足以支持任意键的对数时间搜索。</v>
      </c>
      <c r="H175" s="9" t="str">
        <v>sources_core_cs</v>
      </c>
      <c r="I175" s="9" t="str">
        <v>sources_cpp_linux</v>
      </c>
      <c r="J175" s="9" t="str">
        <v>通过</v>
      </c>
      <c r="K175" s="9" t="str">
        <v>通过</v>
      </c>
      <c r="L175" s="9" t="str">
        <v>通过</v>
      </c>
      <c r="M175" s="10" t="str">
        <v>通过</v>
      </c>
    </row>
    <row r="176">
      <c r="A176" s="9" t="str">
        <v>WEB-20260717-DS-025</v>
      </c>
      <c r="B176" s="9" t="str">
        <v>ds</v>
      </c>
      <c r="C176" s="9" t="str">
        <v>single</v>
      </c>
      <c r="D176" s="9" t="str">
        <v>nist-dads|opendsa</v>
      </c>
      <c r="E176" s="9" t="str">
        <v>AVL tree and double rotation|AVL rotations</v>
      </c>
      <c r="F176" s="9" t="str">
        <v>zh-CN</v>
      </c>
      <c r="G176" s="9" t="str">
        <v>AVL 左右型失衡使用先左后右的双旋修复。</v>
      </c>
      <c r="H176" s="9" t="str">
        <v>sources_core_cs</v>
      </c>
      <c r="I176" s="9" t="str">
        <v>sources_cpp_linux</v>
      </c>
      <c r="J176" s="9" t="str">
        <v>通过</v>
      </c>
      <c r="K176" s="9" t="str">
        <v>通过</v>
      </c>
      <c r="L176" s="9" t="str">
        <v>通过</v>
      </c>
      <c r="M176" s="10" t="str">
        <v>通过</v>
      </c>
    </row>
    <row r="177">
      <c r="A177" s="9" t="str">
        <v>WEB-20260717-DS-026</v>
      </c>
      <c r="B177" s="9" t="str">
        <v>ds</v>
      </c>
      <c r="C177" s="9" t="str">
        <v>single</v>
      </c>
      <c r="D177" s="9" t="str">
        <v>nist-dads|opendsa</v>
      </c>
      <c r="E177" s="9" t="str">
        <v>Huffman coding|Huffman coding modules</v>
      </c>
      <c r="F177" s="9" t="str">
        <v>zh-CN</v>
      </c>
      <c r="G177" s="9" t="str">
        <v>Huffman 码是前缀码，可无分隔符逐个确定码字边界。</v>
      </c>
      <c r="H177" s="9" t="str">
        <v>sources_core_cs</v>
      </c>
      <c r="I177" s="9" t="str">
        <v>sources_cpp_linux</v>
      </c>
      <c r="J177" s="9" t="str">
        <v>通过</v>
      </c>
      <c r="K177" s="9" t="str">
        <v>通过</v>
      </c>
      <c r="L177" s="9" t="str">
        <v>通过</v>
      </c>
      <c r="M177" s="10" t="str">
        <v>通过</v>
      </c>
    </row>
    <row r="178">
      <c r="A178" s="9" t="str">
        <v>WEB-20260717-DS-027</v>
      </c>
      <c r="B178" s="9" t="str">
        <v>ds</v>
      </c>
      <c r="C178" s="9" t="str">
        <v>multiple</v>
      </c>
      <c r="D178" s="9" t="str">
        <v>opendsa|nist-dads</v>
      </c>
      <c r="E178" s="9" t="str">
        <v>binary tree traversals|level-order traversal</v>
      </c>
      <c r="F178" s="9" t="str">
        <v>zh-CN</v>
      </c>
      <c r="G178" s="9" t="str">
        <v>树遍历由根与子树访问次序定义，与是否为搜索树无关。</v>
      </c>
      <c r="H178" s="9" t="str">
        <v>sources_core_cs</v>
      </c>
      <c r="I178" s="9" t="str">
        <v>sources_cpp_linux</v>
      </c>
      <c r="J178" s="9" t="str">
        <v>通过</v>
      </c>
      <c r="K178" s="9" t="str">
        <v>通过</v>
      </c>
      <c r="L178" s="9" t="str">
        <v>通过</v>
      </c>
      <c r="M178" s="10" t="str">
        <v>通过</v>
      </c>
    </row>
    <row r="179">
      <c r="A179" s="9" t="str">
        <v>WEB-20260717-DS-028</v>
      </c>
      <c r="B179" s="9" t="str">
        <v>ds</v>
      </c>
      <c r="C179" s="9" t="str">
        <v>multiple</v>
      </c>
      <c r="D179" s="9" t="str">
        <v>ods|opendsa|nist-dads</v>
      </c>
      <c r="E179" s="9" t="str">
        <v>RedBlackTree and BTree|balanced tree modules|balanced search tree definitions</v>
      </c>
      <c r="F179" s="9" t="str">
        <v>zh-CN</v>
      </c>
      <c r="G179" s="9" t="str">
        <v>平衡树通过控制高度获得对数操作界，不要求左右规模处处相等。</v>
      </c>
      <c r="H179" s="9" t="str">
        <v>sources_core_cs</v>
      </c>
      <c r="I179" s="9" t="str">
        <v>sources_cpp_linux</v>
      </c>
      <c r="J179" s="9" t="str">
        <v>通过</v>
      </c>
      <c r="K179" s="9" t="str">
        <v>通过</v>
      </c>
      <c r="L179" s="9" t="str">
        <v>通过</v>
      </c>
      <c r="M179" s="10" t="str">
        <v>通过</v>
      </c>
    </row>
    <row r="180">
      <c r="A180" s="9" t="str">
        <v>WEB-20260717-DS-029</v>
      </c>
      <c r="B180" s="9" t="str">
        <v>ds</v>
      </c>
      <c r="C180" s="9" t="str">
        <v>judge</v>
      </c>
      <c r="D180" s="9" t="str">
        <v>ods|opendsa</v>
      </c>
      <c r="E180" s="9" t="str">
        <v>BinaryHeap array representation|complete binary tree representation</v>
      </c>
      <c r="F180" s="9" t="str">
        <v>zh-CN</v>
      </c>
      <c r="G180" s="9" t="str">
        <v>完全二叉树的层序数组表示使用连续前缀位置。</v>
      </c>
      <c r="H180" s="9" t="str">
        <v>sources_core_cs</v>
      </c>
      <c r="I180" s="9" t="str">
        <v>sources_cpp_linux</v>
      </c>
      <c r="J180" s="9" t="str">
        <v>通过</v>
      </c>
      <c r="K180" s="9" t="str">
        <v>通过</v>
      </c>
      <c r="L180" s="9" t="str">
        <v>通过</v>
      </c>
      <c r="M180" s="10" t="str">
        <v>通过</v>
      </c>
    </row>
    <row r="181">
      <c r="A181" s="9" t="str">
        <v>WEB-20260717-DS-030</v>
      </c>
      <c r="B181" s="9" t="str">
        <v>ds</v>
      </c>
      <c r="C181" s="9" t="str">
        <v>fill_blank</v>
      </c>
      <c r="D181" s="9" t="str">
        <v>nist-dads|opendsa</v>
      </c>
      <c r="E181" s="9" t="str">
        <v>tree definition|tree properties</v>
      </c>
      <c r="F181" s="9" t="str">
        <v>zh-CN</v>
      </c>
      <c r="G181" s="9" t="str">
        <v>非空树的边数恒为结点数减一。</v>
      </c>
      <c r="H181" s="9" t="str">
        <v>sources_core_cs</v>
      </c>
      <c r="I181" s="9" t="str">
        <v>sources_cpp_linux</v>
      </c>
      <c r="J181" s="9" t="str">
        <v>通过</v>
      </c>
      <c r="K181" s="9" t="str">
        <v>通过</v>
      </c>
      <c r="L181" s="9" t="str">
        <v>通过</v>
      </c>
      <c r="M181" s="10" t="str">
        <v>通过</v>
      </c>
    </row>
    <row r="182">
      <c r="A182" s="9" t="str">
        <v>WEB-20260717-DS-031</v>
      </c>
      <c r="B182" s="9" t="str">
        <v>ds</v>
      </c>
      <c r="C182" s="9" t="str">
        <v>single</v>
      </c>
      <c r="D182" s="9" t="str">
        <v>ods|opendsa|nist-dads</v>
      </c>
      <c r="E182" s="9" t="str">
        <v>BreadthFirstSearch|BFS modules|breadth-first search</v>
      </c>
      <c r="F182" s="9" t="str">
        <v>zh-CN</v>
      </c>
      <c r="G182" s="9" t="str">
        <v>无权图 BFS 层数给出源点到顶点的最少边数。</v>
      </c>
      <c r="H182" s="9" t="str">
        <v>sources_core_cs</v>
      </c>
      <c r="I182" s="9" t="str">
        <v>sources_cpp_linux</v>
      </c>
      <c r="J182" s="9" t="str">
        <v>通过</v>
      </c>
      <c r="K182" s="9" t="str">
        <v>通过</v>
      </c>
      <c r="L182" s="9" t="str">
        <v>通过</v>
      </c>
      <c r="M182" s="10" t="str">
        <v>通过</v>
      </c>
    </row>
    <row r="183">
      <c r="A183" s="9" t="str">
        <v>WEB-20260717-DS-032</v>
      </c>
      <c r="B183" s="9" t="str">
        <v>ds</v>
      </c>
      <c r="C183" s="9" t="str">
        <v>single</v>
      </c>
      <c r="D183" s="9" t="str">
        <v>nist-dads|opendsa</v>
      </c>
      <c r="E183" s="9" t="str">
        <v>Dijkstra algorithm|shortest path modules</v>
      </c>
      <c r="F183" s="9" t="str">
        <v>zh-CN</v>
      </c>
      <c r="G183" s="9" t="str">
        <v>Dijkstra 的贪心确定步骤依赖非负边权。</v>
      </c>
      <c r="H183" s="9" t="str">
        <v>sources_core_cs</v>
      </c>
      <c r="I183" s="9" t="str">
        <v>sources_cpp_linux</v>
      </c>
      <c r="J183" s="9" t="str">
        <v>通过</v>
      </c>
      <c r="K183" s="9" t="str">
        <v>通过</v>
      </c>
      <c r="L183" s="9" t="str">
        <v>通过</v>
      </c>
      <c r="M183" s="10" t="str">
        <v>通过</v>
      </c>
    </row>
    <row r="184">
      <c r="A184" s="9" t="str">
        <v>WEB-20260717-DS-033</v>
      </c>
      <c r="B184" s="9" t="str">
        <v>ds</v>
      </c>
      <c r="C184" s="9" t="str">
        <v>single</v>
      </c>
      <c r="D184" s="9" t="str">
        <v>nist-dads|opendsa</v>
      </c>
      <c r="E184" s="9" t="str">
        <v>topological sort and DAG|topological sorting modules</v>
      </c>
      <c r="F184" s="9" t="str">
        <v>zh-CN</v>
      </c>
      <c r="G184" s="9" t="str">
        <v>存在拓扑序意味着有向图无环，但排序结果可不唯一。</v>
      </c>
      <c r="H184" s="9" t="str">
        <v>sources_core_cs</v>
      </c>
      <c r="I184" s="9" t="str">
        <v>sources_cpp_linux</v>
      </c>
      <c r="J184" s="9" t="str">
        <v>通过</v>
      </c>
      <c r="K184" s="9" t="str">
        <v>通过</v>
      </c>
      <c r="L184" s="9" t="str">
        <v>通过</v>
      </c>
      <c r="M184" s="10" t="str">
        <v>通过</v>
      </c>
    </row>
    <row r="185">
      <c r="A185" s="9" t="str">
        <v>WEB-20260717-DS-034</v>
      </c>
      <c r="B185" s="9" t="str">
        <v>ds</v>
      </c>
      <c r="C185" s="9" t="str">
        <v>single</v>
      </c>
      <c r="D185" s="9" t="str">
        <v>ods|nist-dads</v>
      </c>
      <c r="E185" s="9" t="str">
        <v>Graph adjacency lists|adjacency-list representation</v>
      </c>
      <c r="F185" s="9" t="str">
        <v>zh-CN</v>
      </c>
      <c r="G185" s="9" t="str">
        <v>邻接表完整遍历的时间与顶点数和边数之和同阶。</v>
      </c>
      <c r="H185" s="9" t="str">
        <v>sources_core_cs</v>
      </c>
      <c r="I185" s="9" t="str">
        <v>sources_cpp_linux</v>
      </c>
      <c r="J185" s="9" t="str">
        <v>通过</v>
      </c>
      <c r="K185" s="9" t="str">
        <v>通过</v>
      </c>
      <c r="L185" s="9" t="str">
        <v>通过</v>
      </c>
      <c r="M185" s="10" t="str">
        <v>通过</v>
      </c>
    </row>
    <row r="186">
      <c r="A186" s="9" t="str">
        <v>WEB-20260717-DS-035</v>
      </c>
      <c r="B186" s="9" t="str">
        <v>ds</v>
      </c>
      <c r="C186" s="9" t="str">
        <v>single</v>
      </c>
      <c r="D186" s="9" t="str">
        <v>nist-dads|opendsa</v>
      </c>
      <c r="E186" s="9" t="str">
        <v>shortest path and minimum spanning tree definitions|graph algorithms modules</v>
      </c>
      <c r="F186" s="9" t="str">
        <v>zh-CN</v>
      </c>
      <c r="G186" s="9" t="str">
        <v>最短路径树与最小生成树的优化目标不同。</v>
      </c>
      <c r="H186" s="9" t="str">
        <v>sources_core_cs</v>
      </c>
      <c r="I186" s="9" t="str">
        <v>sources_cpp_linux</v>
      </c>
      <c r="J186" s="9" t="str">
        <v>通过</v>
      </c>
      <c r="K186" s="9" t="str">
        <v>通过</v>
      </c>
      <c r="L186" s="9" t="str">
        <v>通过</v>
      </c>
      <c r="M186" s="10" t="str">
        <v>通过</v>
      </c>
    </row>
    <row r="187">
      <c r="A187" s="9" t="str">
        <v>WEB-20260717-DS-036</v>
      </c>
      <c r="B187" s="9" t="str">
        <v>ds</v>
      </c>
      <c r="C187" s="9" t="str">
        <v>multiple</v>
      </c>
      <c r="D187" s="9" t="str">
        <v>ods|opendsa|nist-dads</v>
      </c>
      <c r="E187" s="9" t="str">
        <v>DepthFirstSearch|DFS graph algorithms|depth-first search</v>
      </c>
      <c r="F187" s="9" t="str">
        <v>zh-CN</v>
      </c>
      <c r="G187" s="9" t="str">
        <v>DFS 可支持连通性、环检测和拓扑排序，但不保证加权最短路。</v>
      </c>
      <c r="H187" s="9" t="str">
        <v>sources_core_cs</v>
      </c>
      <c r="I187" s="9" t="str">
        <v>sources_cpp_linux</v>
      </c>
      <c r="J187" s="9" t="str">
        <v>通过</v>
      </c>
      <c r="K187" s="9" t="str">
        <v>通过</v>
      </c>
      <c r="L187" s="9" t="str">
        <v>通过</v>
      </c>
      <c r="M187" s="10" t="str">
        <v>通过</v>
      </c>
    </row>
    <row r="188">
      <c r="A188" s="9" t="str">
        <v>WEB-20260717-DS-037</v>
      </c>
      <c r="B188" s="9" t="str">
        <v>ds</v>
      </c>
      <c r="C188" s="9" t="str">
        <v>multiple</v>
      </c>
      <c r="D188" s="9" t="str">
        <v>nist-dads|opendsa</v>
      </c>
      <c r="E188" s="9" t="str">
        <v>directed graph degree definitions|graph representations</v>
      </c>
      <c r="F188" s="9" t="str">
        <v>zh-CN</v>
      </c>
      <c r="G188" s="9" t="str">
        <v>有向边计入终点入度，所有入度之和等于边数。</v>
      </c>
      <c r="H188" s="9" t="str">
        <v>sources_core_cs</v>
      </c>
      <c r="I188" s="9" t="str">
        <v>sources_cpp_linux</v>
      </c>
      <c r="J188" s="9" t="str">
        <v>通过</v>
      </c>
      <c r="K188" s="9" t="str">
        <v>通过</v>
      </c>
      <c r="L188" s="9" t="str">
        <v>通过</v>
      </c>
      <c r="M188" s="10" t="str">
        <v>通过</v>
      </c>
    </row>
    <row r="189">
      <c r="A189" s="9" t="str">
        <v>WEB-20260717-DS-038</v>
      </c>
      <c r="B189" s="9" t="str">
        <v>ds</v>
      </c>
      <c r="C189" s="9" t="str">
        <v>judge</v>
      </c>
      <c r="D189" s="9" t="str">
        <v>nist-dads|opendsa</v>
      </c>
      <c r="E189" s="9" t="str">
        <v>spanning tree definition|minimum spanning tree modules</v>
      </c>
      <c r="F189" s="9" t="str">
        <v>zh-CN</v>
      </c>
      <c r="G189" s="9" t="str">
        <v>不连通图没有覆盖全部顶点的单棵生成树，只能形成森林。</v>
      </c>
      <c r="H189" s="9" t="str">
        <v>sources_core_cs</v>
      </c>
      <c r="I189" s="9" t="str">
        <v>sources_cpp_linux</v>
      </c>
      <c r="J189" s="9" t="str">
        <v>通过</v>
      </c>
      <c r="K189" s="9" t="str">
        <v>通过</v>
      </c>
      <c r="L189" s="9" t="str">
        <v>通过</v>
      </c>
      <c r="M189" s="10" t="str">
        <v>通过</v>
      </c>
    </row>
    <row r="190">
      <c r="A190" s="9" t="str">
        <v>WEB-20260717-DS-039</v>
      </c>
      <c r="B190" s="9" t="str">
        <v>ds</v>
      </c>
      <c r="C190" s="9" t="str">
        <v>short_answer</v>
      </c>
      <c r="D190" s="9" t="str">
        <v>ods|nist-dads|opendsa</v>
      </c>
      <c r="E190" s="9" t="str">
        <v>Graph representations|adjacency matrix and adjacency list|graph representation modules</v>
      </c>
      <c r="F190" s="9" t="str">
        <v>zh-CN</v>
      </c>
      <c r="G190" s="9" t="str">
        <v>矩阵适合任意边快速查询，邻接表适合稀疏图和邻边遍历。</v>
      </c>
      <c r="H190" s="9" t="str">
        <v>sources_core_cs</v>
      </c>
      <c r="I190" s="9" t="str">
        <v>sources_cpp_linux</v>
      </c>
      <c r="J190" s="9" t="str">
        <v>通过</v>
      </c>
      <c r="K190" s="9" t="str">
        <v>通过</v>
      </c>
      <c r="L190" s="9" t="str">
        <v>通过</v>
      </c>
      <c r="M190" s="10" t="str">
        <v>通过</v>
      </c>
    </row>
    <row r="191">
      <c r="A191" s="9" t="str">
        <v>WEB-20260717-DS-040</v>
      </c>
      <c r="B191" s="9" t="str">
        <v>ds</v>
      </c>
      <c r="C191" s="9" t="str">
        <v>single</v>
      </c>
      <c r="D191" s="9" t="str">
        <v>nist-dads|opendsa</v>
      </c>
      <c r="E191" s="9" t="str">
        <v>binary search|binary search modules</v>
      </c>
      <c r="F191" s="9" t="str">
        <v>zh-CN</v>
      </c>
      <c r="G191" s="9" t="str">
        <v>二分查找必须保持目标仍在候选区间的循环不变量。</v>
      </c>
      <c r="H191" s="9" t="str">
        <v>sources_core_cs</v>
      </c>
      <c r="I191" s="9" t="str">
        <v>sources_cpp_linux</v>
      </c>
      <c r="J191" s="9" t="str">
        <v>通过</v>
      </c>
      <c r="K191" s="9" t="str">
        <v>通过</v>
      </c>
      <c r="L191" s="9" t="str">
        <v>通过</v>
      </c>
      <c r="M191" s="10" t="str">
        <v>通过</v>
      </c>
    </row>
    <row r="192">
      <c r="A192" s="9" t="str">
        <v>WEB-20260717-DS-041</v>
      </c>
      <c r="B192" s="9" t="str">
        <v>ds</v>
      </c>
      <c r="C192" s="9" t="str">
        <v>single</v>
      </c>
      <c r="D192" s="9" t="str">
        <v>ods|ods-cpp|nist-dads</v>
      </c>
      <c r="E192" s="9" t="str">
        <v>LinearHashTable|hash tables|load factor</v>
      </c>
      <c r="F192" s="9" t="str">
        <v>zh-CN</v>
      </c>
      <c r="G192" s="9" t="str">
        <v>开放寻址在高负载下探测变长，需要扩容维持性能。</v>
      </c>
      <c r="H192" s="9" t="str">
        <v>sources_core_cs</v>
      </c>
      <c r="I192" s="9" t="str">
        <v>sources_cpp_linux</v>
      </c>
      <c r="J192" s="9" t="str">
        <v>通过</v>
      </c>
      <c r="K192" s="9" t="str">
        <v>通过</v>
      </c>
      <c r="L192" s="9" t="str">
        <v>通过</v>
      </c>
      <c r="M192" s="10" t="str">
        <v>通过</v>
      </c>
    </row>
    <row r="193">
      <c r="A193" s="9" t="str">
        <v>WEB-20260717-DS-042</v>
      </c>
      <c r="B193" s="9" t="str">
        <v>ds</v>
      </c>
      <c r="C193" s="9" t="str">
        <v>single</v>
      </c>
      <c r="D193" s="9" t="str">
        <v>ods|ods-cpp</v>
      </c>
      <c r="E193" s="9" t="str">
        <v>LinearHashTable deletion|open addressing hash tables</v>
      </c>
      <c r="F193" s="9" t="str">
        <v>zh-CN</v>
      </c>
      <c r="G193" s="9" t="str">
        <v>墓碑避免删除操作截断开放寻址的探测链。</v>
      </c>
      <c r="H193" s="9" t="str">
        <v>sources_core_cs</v>
      </c>
      <c r="I193" s="9" t="str">
        <v>sources_cpp_linux</v>
      </c>
      <c r="J193" s="9" t="str">
        <v>通过</v>
      </c>
      <c r="K193" s="9" t="str">
        <v>通过</v>
      </c>
      <c r="L193" s="9" t="str">
        <v>通过</v>
      </c>
      <c r="M193" s="10" t="str">
        <v>通过</v>
      </c>
    </row>
    <row r="194">
      <c r="A194" s="9" t="str">
        <v>WEB-20260717-DS-043</v>
      </c>
      <c r="B194" s="9" t="str">
        <v>ds</v>
      </c>
      <c r="C194" s="9" t="str">
        <v>single</v>
      </c>
      <c r="D194" s="9" t="str">
        <v>ods|nist-dads</v>
      </c>
      <c r="E194" s="9" t="str">
        <v>ChainedHashTable|separate chaining</v>
      </c>
      <c r="F194" s="9" t="str">
        <v>zh-CN</v>
      </c>
      <c r="G194" s="9" t="str">
        <v>分离链接让冲突键共存于同一桶，再以实际键区分。</v>
      </c>
      <c r="H194" s="9" t="str">
        <v>sources_core_cs</v>
      </c>
      <c r="I194" s="9" t="str">
        <v>sources_cpp_linux</v>
      </c>
      <c r="J194" s="9" t="str">
        <v>通过</v>
      </c>
      <c r="K194" s="9" t="str">
        <v>通过</v>
      </c>
      <c r="L194" s="9" t="str">
        <v>通过</v>
      </c>
      <c r="M194" s="10" t="str">
        <v>通过</v>
      </c>
    </row>
    <row r="195">
      <c r="A195" s="9" t="str">
        <v>WEB-20260717-DS-044</v>
      </c>
      <c r="B195" s="9" t="str">
        <v>ds</v>
      </c>
      <c r="C195" s="9" t="str">
        <v>multiple</v>
      </c>
      <c r="D195" s="9" t="str">
        <v>ods|ods-cpp|nist-dads</v>
      </c>
      <c r="E195" s="9" t="str">
        <v>Hash tables|hashing implementations|collision resolution</v>
      </c>
      <c r="F195" s="9" t="str">
        <v>zh-CN</v>
      </c>
      <c r="G195" s="9" t="str">
        <v>冲突可由链接或探测处理，并通过散列质量和负载控制缓解。</v>
      </c>
      <c r="H195" s="9" t="str">
        <v>sources_core_cs</v>
      </c>
      <c r="I195" s="9" t="str">
        <v>sources_cpp_linux</v>
      </c>
      <c r="J195" s="9" t="str">
        <v>通过</v>
      </c>
      <c r="K195" s="9" t="str">
        <v>通过</v>
      </c>
      <c r="L195" s="9" t="str">
        <v>通过</v>
      </c>
      <c r="M195" s="10" t="str">
        <v>通过</v>
      </c>
    </row>
    <row r="196">
      <c r="A196" s="9" t="str">
        <v>WEB-20260717-DS-045</v>
      </c>
      <c r="B196" s="9" t="str">
        <v>ds</v>
      </c>
      <c r="C196" s="9" t="str">
        <v>short_answer</v>
      </c>
      <c r="D196" s="9" t="str">
        <v>ods|ods-cpp|nist-dads</v>
      </c>
      <c r="E196" s="9" t="str">
        <v>Hash tables analysis|hash table implementations|hash table definition</v>
      </c>
      <c r="F196" s="9" t="str">
        <v>zh-CN</v>
      </c>
      <c r="G196" s="9" t="str">
        <v>哈希查找的平均常数性能依赖分布与负载，最坏可退化为线性。</v>
      </c>
      <c r="H196" s="9" t="str">
        <v>sources_core_cs</v>
      </c>
      <c r="I196" s="9" t="str">
        <v>sources_cpp_linux</v>
      </c>
      <c r="J196" s="9" t="str">
        <v>通过</v>
      </c>
      <c r="K196" s="9" t="str">
        <v>通过</v>
      </c>
      <c r="L196" s="9" t="str">
        <v>通过</v>
      </c>
      <c r="M196" s="10" t="str">
        <v>通过</v>
      </c>
    </row>
    <row r="197">
      <c r="A197" s="9" t="str">
        <v>WEB-20260717-DS-046</v>
      </c>
      <c r="B197" s="9" t="str">
        <v>ds</v>
      </c>
      <c r="C197" s="9" t="str">
        <v>single</v>
      </c>
      <c r="D197" s="9" t="str">
        <v>nist-dads|opendsa</v>
      </c>
      <c r="E197" s="9" t="str">
        <v>stable sort|sorting terminology</v>
      </c>
      <c r="F197" s="9" t="str">
        <v>zh-CN</v>
      </c>
      <c r="G197" s="9" t="str">
        <v>排序稳定性指保持相等键记录的原相对次序。</v>
      </c>
      <c r="H197" s="9" t="str">
        <v>sources_core_cs</v>
      </c>
      <c r="I197" s="9" t="str">
        <v>sources_cpp_linux</v>
      </c>
      <c r="J197" s="9" t="str">
        <v>通过</v>
      </c>
      <c r="K197" s="9" t="str">
        <v>通过</v>
      </c>
      <c r="L197" s="9" t="str">
        <v>通过</v>
      </c>
      <c r="M197" s="10" t="str">
        <v>通过</v>
      </c>
    </row>
    <row r="198">
      <c r="A198" s="9" t="str">
        <v>WEB-20260717-DS-047</v>
      </c>
      <c r="B198" s="9" t="str">
        <v>ds</v>
      </c>
      <c r="C198" s="9" t="str">
        <v>single</v>
      </c>
      <c r="D198" s="9" t="str">
        <v>opendsa|nist-dads</v>
      </c>
      <c r="E198" s="9" t="str">
        <v>quicksort analysis|quicksort definition</v>
      </c>
      <c r="F198" s="9" t="str">
        <v>zh-CN</v>
      </c>
      <c r="G198" s="9" t="str">
        <v>极端不平衡分区使快速排序最坏达到平方级。</v>
      </c>
      <c r="H198" s="9" t="str">
        <v>sources_core_cs</v>
      </c>
      <c r="I198" s="9" t="str">
        <v>sources_cpp_linux</v>
      </c>
      <c r="J198" s="9" t="str">
        <v>通过</v>
      </c>
      <c r="K198" s="9" t="str">
        <v>通过</v>
      </c>
      <c r="L198" s="9" t="str">
        <v>通过</v>
      </c>
      <c r="M198" s="10" t="str">
        <v>通过</v>
      </c>
    </row>
    <row r="199">
      <c r="A199" s="9" t="str">
        <v>WEB-20260717-DS-048</v>
      </c>
      <c r="B199" s="9" t="str">
        <v>ds</v>
      </c>
      <c r="C199" s="9" t="str">
        <v>single</v>
      </c>
      <c r="D199" s="9" t="str">
        <v>nist-dads|opendsa</v>
      </c>
      <c r="E199" s="9" t="str">
        <v>counting sort|non-comparison sorting modules</v>
      </c>
      <c r="F199" s="9" t="str">
        <v>zh-CN</v>
      </c>
      <c r="G199" s="9" t="str">
        <v>计数排序的线性界依赖可控的离散键范围 k。</v>
      </c>
      <c r="H199" s="9" t="str">
        <v>sources_core_cs</v>
      </c>
      <c r="I199" s="9" t="str">
        <v>sources_cpp_linux</v>
      </c>
      <c r="J199" s="9" t="str">
        <v>通过</v>
      </c>
      <c r="K199" s="9" t="str">
        <v>通过</v>
      </c>
      <c r="L199" s="9" t="str">
        <v>通过</v>
      </c>
      <c r="M199" s="10" t="str">
        <v>通过</v>
      </c>
    </row>
    <row r="200">
      <c r="A200" s="9" t="str">
        <v>WEB-20260717-DS-049</v>
      </c>
      <c r="B200" s="9" t="str">
        <v>ds</v>
      </c>
      <c r="C200" s="9" t="str">
        <v>fill_blank</v>
      </c>
      <c r="D200" s="9" t="str">
        <v>opendsa|nist-dads</v>
      </c>
      <c r="E200" s="9" t="str">
        <v>comparison sorting lower bound|sorting lower bound</v>
      </c>
      <c r="F200" s="9" t="str">
        <v>zh-CN</v>
      </c>
      <c r="G200" s="9" t="str">
        <v>通用比较排序的最坏比较次数下界为 Ω(n log n)。</v>
      </c>
      <c r="H200" s="9" t="str">
        <v>sources_core_cs</v>
      </c>
      <c r="I200" s="9" t="str">
        <v>sources_cpp_linux</v>
      </c>
      <c r="J200" s="9" t="str">
        <v>通过</v>
      </c>
      <c r="K200" s="9" t="str">
        <v>通过</v>
      </c>
      <c r="L200" s="9" t="str">
        <v>通过</v>
      </c>
      <c r="M200" s="10" t="str">
        <v>通过</v>
      </c>
    </row>
    <row r="201">
      <c r="A201" s="9" t="str">
        <v>WEB-20260717-DS-050</v>
      </c>
      <c r="B201" s="9" t="str">
        <v>ds</v>
      </c>
      <c r="C201" s="9" t="str">
        <v>short_answer</v>
      </c>
      <c r="D201" s="9" t="str">
        <v>nist-dads|opendsa</v>
      </c>
      <c r="E201" s="9" t="str">
        <v>external merge and external sort|external sorting modules</v>
      </c>
      <c r="F201" s="9" t="str">
        <v>zh-CN</v>
      </c>
      <c r="G201" s="9" t="str">
        <v>外部归并通过有序段和多路顺序 I/O 适配超内存数据。</v>
      </c>
      <c r="H201" s="9" t="str">
        <v>sources_core_cs</v>
      </c>
      <c r="I201" s="9" t="str">
        <v>sources_cpp_linux</v>
      </c>
      <c r="J201" s="9" t="str">
        <v>通过</v>
      </c>
      <c r="K201" s="9" t="str">
        <v>通过</v>
      </c>
      <c r="L201" s="9" t="str">
        <v>通过</v>
      </c>
      <c r="M201" s="10" t="str">
        <v>通过</v>
      </c>
    </row>
    <row r="202">
      <c r="A202" s="9" t="str">
        <v>WEB-20260717-NET-001</v>
      </c>
      <c r="B202" s="9" t="str">
        <v>network</v>
      </c>
      <c r="C202" s="9" t="str">
        <v>single</v>
      </c>
      <c r="D202" s="9" t="str">
        <v>ieee-8023|rfc8200</v>
      </c>
      <c r="E202" s="9" t="str">
        <v>MAC frame forwarding across a local link|IPv6 packet forwarding model</v>
      </c>
      <c r="F202" s="9" t="str">
        <v>zh-CN</v>
      </c>
      <c r="G202" s="9" t="str">
        <v>跨路由器转发会在新链路上重新封装链路层帧。</v>
      </c>
      <c r="H202" s="9" t="str">
        <v>author_network</v>
      </c>
      <c r="I202" s="9" t="str">
        <v>author_co</v>
      </c>
      <c r="J202" s="9" t="str">
        <v>通过</v>
      </c>
      <c r="K202" s="9" t="str">
        <v>通过</v>
      </c>
      <c r="L202" s="9" t="str">
        <v>通过</v>
      </c>
      <c r="M202" s="10" t="str">
        <v>通过</v>
      </c>
    </row>
    <row r="203">
      <c r="A203" s="9" t="str">
        <v>WEB-20260717-NET-002</v>
      </c>
      <c r="B203" s="9" t="str">
        <v>network</v>
      </c>
      <c r="C203" s="9" t="str">
        <v>single</v>
      </c>
      <c r="D203" s="9" t="str">
        <v>rfc9293|rfc8446</v>
      </c>
      <c r="E203" s="9" t="str">
        <v>TCP connection service|TLS 1.3 handshake and authentication</v>
      </c>
      <c r="F203" s="9" t="str">
        <v>zh-CN</v>
      </c>
      <c r="G203" s="9" t="str">
        <v>传输连接可用而 TLS 失败时，应优先定位安全会话层问题。</v>
      </c>
      <c r="H203" s="9" t="str">
        <v>author_network</v>
      </c>
      <c r="I203" s="9" t="str">
        <v>author_co</v>
      </c>
      <c r="J203" s="9" t="str">
        <v>通过</v>
      </c>
      <c r="K203" s="9" t="str">
        <v>通过</v>
      </c>
      <c r="L203" s="9" t="str">
        <v>通过</v>
      </c>
      <c r="M203" s="10" t="str">
        <v>通过</v>
      </c>
    </row>
    <row r="204">
      <c r="A204" s="9" t="str">
        <v>WEB-20260717-NET-003</v>
      </c>
      <c r="B204" s="9" t="str">
        <v>network</v>
      </c>
      <c r="C204" s="9" t="str">
        <v>single</v>
      </c>
      <c r="D204" s="9" t="str">
        <v>rfc9293|rfc8200</v>
      </c>
      <c r="E204" s="9" t="str">
        <v>TCP connection state|IPv6 node forwarding roles</v>
      </c>
      <c r="F204" s="9" t="str">
        <v>zh-CN</v>
      </c>
      <c r="G204" s="9" t="str">
        <v>TCP 可靠传输状态由端系统维护，普通路由器负责逐包转发。</v>
      </c>
      <c r="H204" s="9" t="str">
        <v>author_network</v>
      </c>
      <c r="I204" s="9" t="str">
        <v>author_co</v>
      </c>
      <c r="J204" s="9" t="str">
        <v>通过</v>
      </c>
      <c r="K204" s="9" t="str">
        <v>通过</v>
      </c>
      <c r="L204" s="9" t="str">
        <v>通过</v>
      </c>
      <c r="M204" s="10" t="str">
        <v>通过</v>
      </c>
    </row>
    <row r="205">
      <c r="A205" s="9" t="str">
        <v>WEB-20260717-NET-004</v>
      </c>
      <c r="B205" s="9" t="str">
        <v>network</v>
      </c>
      <c r="C205" s="9" t="str">
        <v>judge</v>
      </c>
      <c r="D205" s="9" t="str">
        <v>rfc8200|ieee-8023</v>
      </c>
      <c r="E205" s="9" t="str">
        <v>IPv6 transmission over links|Ethernet MAC frame service</v>
      </c>
      <c r="F205" s="9" t="str">
        <v>zh-CN</v>
      </c>
      <c r="G205" s="9" t="str">
        <v>网络层数据报可以在不同链路上采用不同外层帧格式。</v>
      </c>
      <c r="H205" s="9" t="str">
        <v>author_network</v>
      </c>
      <c r="I205" s="9" t="str">
        <v>author_co</v>
      </c>
      <c r="J205" s="9" t="str">
        <v>通过</v>
      </c>
      <c r="K205" s="9" t="str">
        <v>通过</v>
      </c>
      <c r="L205" s="9" t="str">
        <v>通过</v>
      </c>
      <c r="M205" s="10" t="str">
        <v>通过</v>
      </c>
    </row>
    <row r="206">
      <c r="A206" s="9" t="str">
        <v>WEB-20260717-NET-005</v>
      </c>
      <c r="B206" s="9" t="str">
        <v>network</v>
      </c>
      <c r="C206" s="9" t="str">
        <v>single</v>
      </c>
      <c r="D206" s="9" t="str">
        <v>ieee-8023</v>
      </c>
      <c r="E206" s="9" t="str">
        <v>full-duplex MAC operation</v>
      </c>
      <c r="F206" s="9" t="str">
        <v>zh-CN</v>
      </c>
      <c r="G206" s="9" t="str">
        <v>点到点全双工以太网不依赖共享介质碰撞检测。</v>
      </c>
      <c r="H206" s="9" t="str">
        <v>author_network</v>
      </c>
      <c r="I206" s="9" t="str">
        <v>author_co</v>
      </c>
      <c r="J206" s="9" t="str">
        <v>通过</v>
      </c>
      <c r="K206" s="9" t="str">
        <v>通过</v>
      </c>
      <c r="L206" s="9" t="str">
        <v>通过</v>
      </c>
      <c r="M206" s="10" t="str">
        <v>通过</v>
      </c>
    </row>
    <row r="207">
      <c r="A207" s="9" t="str">
        <v>WEB-20260717-NET-006</v>
      </c>
      <c r="B207" s="9" t="str">
        <v>network</v>
      </c>
      <c r="C207" s="9" t="str">
        <v>single</v>
      </c>
      <c r="D207" s="9" t="str">
        <v>ieee-8023</v>
      </c>
      <c r="E207" s="9" t="str">
        <v>Ethernet data rates and physical media</v>
      </c>
      <c r="F207" s="9" t="str">
        <v>zh-CN</v>
      </c>
      <c r="G207" s="9" t="str">
        <v>链路速率影响发送时间，介质与距离主要决定传播时间。</v>
      </c>
      <c r="H207" s="9" t="str">
        <v>author_network</v>
      </c>
      <c r="I207" s="9" t="str">
        <v>author_co</v>
      </c>
      <c r="J207" s="9" t="str">
        <v>通过</v>
      </c>
      <c r="K207" s="9" t="str">
        <v>通过</v>
      </c>
      <c r="L207" s="9" t="str">
        <v>通过</v>
      </c>
      <c r="M207" s="10" t="str">
        <v>通过</v>
      </c>
    </row>
    <row r="208">
      <c r="A208" s="9" t="str">
        <v>WEB-20260717-NET-007</v>
      </c>
      <c r="B208" s="9" t="str">
        <v>network</v>
      </c>
      <c r="C208" s="9" t="str">
        <v>single</v>
      </c>
      <c r="D208" s="9" t="str">
        <v>ieee-8023</v>
      </c>
      <c r="E208" s="9" t="str">
        <v>physical media specifications and link integrity</v>
      </c>
      <c r="F208" s="9" t="str">
        <v>zh-CN</v>
      </c>
      <c r="G208" s="9" t="str">
        <v>距离相关接收错误应先从介质、端接与干扰等物理因素排查。</v>
      </c>
      <c r="H208" s="9" t="str">
        <v>author_network</v>
      </c>
      <c r="I208" s="9" t="str">
        <v>author_co</v>
      </c>
      <c r="J208" s="9" t="str">
        <v>通过</v>
      </c>
      <c r="K208" s="9" t="str">
        <v>通过</v>
      </c>
      <c r="L208" s="9" t="str">
        <v>通过</v>
      </c>
      <c r="M208" s="10" t="str">
        <v>通过</v>
      </c>
    </row>
    <row r="209">
      <c r="A209" s="9" t="str">
        <v>WEB-20260717-NET-008</v>
      </c>
      <c r="B209" s="9" t="str">
        <v>network</v>
      </c>
      <c r="C209" s="9" t="str">
        <v>multiple</v>
      </c>
      <c r="D209" s="9" t="str">
        <v>ieee-8023</v>
      </c>
      <c r="E209" s="9" t="str">
        <v>Ethernet PHY families, media and reach</v>
      </c>
      <c r="F209" s="9" t="str">
        <v>zh-CN</v>
      </c>
      <c r="G209" s="9" t="str">
        <v>物理介质选择受距离、速率、接口和环境条件共同约束。</v>
      </c>
      <c r="H209" s="9" t="str">
        <v>author_network</v>
      </c>
      <c r="I209" s="9" t="str">
        <v>author_co</v>
      </c>
      <c r="J209" s="9" t="str">
        <v>通过</v>
      </c>
      <c r="K209" s="9" t="str">
        <v>通过</v>
      </c>
      <c r="L209" s="9" t="str">
        <v>通过</v>
      </c>
      <c r="M209" s="10" t="str">
        <v>通过</v>
      </c>
    </row>
    <row r="210">
      <c r="A210" s="9" t="str">
        <v>WEB-20260717-NET-009</v>
      </c>
      <c r="B210" s="9" t="str">
        <v>network</v>
      </c>
      <c r="C210" s="9" t="str">
        <v>fill_blank</v>
      </c>
      <c r="D210" s="9" t="str">
        <v>ieee-8023</v>
      </c>
      <c r="E210" s="9" t="str">
        <v>1000 Mb/s Ethernet PHY families</v>
      </c>
      <c r="F210" s="9" t="str">
        <v>zh-CN</v>
      </c>
      <c r="G210" s="9" t="str">
        <v>1000BASE 表示标称约 1000 Mbit/s 的以太网系列。</v>
      </c>
      <c r="H210" s="9" t="str">
        <v>author_network</v>
      </c>
      <c r="I210" s="9" t="str">
        <v>author_co</v>
      </c>
      <c r="J210" s="9" t="str">
        <v>通过</v>
      </c>
      <c r="K210" s="9" t="str">
        <v>通过</v>
      </c>
      <c r="L210" s="9" t="str">
        <v>通过</v>
      </c>
      <c r="M210" s="10" t="str">
        <v>通过</v>
      </c>
    </row>
    <row r="211">
      <c r="A211" s="9" t="str">
        <v>WEB-20260717-NET-010</v>
      </c>
      <c r="B211" s="9" t="str">
        <v>network</v>
      </c>
      <c r="C211" s="9" t="str">
        <v>single</v>
      </c>
      <c r="D211" s="9" t="str">
        <v>ieee-8021q</v>
      </c>
      <c r="E211" s="9" t="str">
        <v>MAC address learning and filtering database</v>
      </c>
      <c r="F211" s="9" t="str">
        <v>zh-CN</v>
      </c>
      <c r="G211" s="9" t="str">
        <v>交换机依据收到帧的源 MAC 与入端口学习转发表项。</v>
      </c>
      <c r="H211" s="9" t="str">
        <v>author_network</v>
      </c>
      <c r="I211" s="9" t="str">
        <v>author_co</v>
      </c>
      <c r="J211" s="9" t="str">
        <v>通过</v>
      </c>
      <c r="K211" s="9" t="str">
        <v>通过</v>
      </c>
      <c r="L211" s="9" t="str">
        <v>通过</v>
      </c>
      <c r="M211" s="10" t="str">
        <v>通过</v>
      </c>
    </row>
    <row r="212">
      <c r="A212" s="9" t="str">
        <v>WEB-20260717-NET-011</v>
      </c>
      <c r="B212" s="9" t="str">
        <v>network</v>
      </c>
      <c r="C212" s="9" t="str">
        <v>single</v>
      </c>
      <c r="D212" s="9" t="str">
        <v>ieee-8021q</v>
      </c>
      <c r="E212" s="9" t="str">
        <v>unknown destination forwarding within a VLAN</v>
      </c>
      <c r="F212" s="9" t="str">
        <v>zh-CN</v>
      </c>
      <c r="G212" s="9" t="str">
        <v>未知单播通常只在所属 VLAN 的转发范围内泛洪。</v>
      </c>
      <c r="H212" s="9" t="str">
        <v>author_network</v>
      </c>
      <c r="I212" s="9" t="str">
        <v>author_co</v>
      </c>
      <c r="J212" s="9" t="str">
        <v>通过</v>
      </c>
      <c r="K212" s="9" t="str">
        <v>通过</v>
      </c>
      <c r="L212" s="9" t="str">
        <v>通过</v>
      </c>
      <c r="M212" s="10" t="str">
        <v>通过</v>
      </c>
    </row>
    <row r="213">
      <c r="A213" s="9" t="str">
        <v>WEB-20260717-NET-012</v>
      </c>
      <c r="B213" s="9" t="str">
        <v>network</v>
      </c>
      <c r="C213" s="9" t="str">
        <v>single</v>
      </c>
      <c r="D213" s="9" t="str">
        <v>ieee-8021q</v>
      </c>
      <c r="E213" s="9" t="str">
        <v>VLAN-aware bridge forwarding domains</v>
      </c>
      <c r="F213" s="9" t="str">
        <v>zh-CN</v>
      </c>
      <c r="G213" s="9" t="str">
        <v>不同 VLAN 默认属于隔离的二层转发域，需要三层转发才能互通。</v>
      </c>
      <c r="H213" s="9" t="str">
        <v>author_network</v>
      </c>
      <c r="I213" s="9" t="str">
        <v>author_co</v>
      </c>
      <c r="J213" s="9" t="str">
        <v>通过</v>
      </c>
      <c r="K213" s="9" t="str">
        <v>通过</v>
      </c>
      <c r="L213" s="9" t="str">
        <v>通过</v>
      </c>
      <c r="M213" s="10" t="str">
        <v>通过</v>
      </c>
    </row>
    <row r="214">
      <c r="A214" s="9" t="str">
        <v>WEB-20260717-NET-013</v>
      </c>
      <c r="B214" s="9" t="str">
        <v>network</v>
      </c>
      <c r="C214" s="9" t="str">
        <v>single</v>
      </c>
      <c r="D214" s="9" t="str">
        <v>ieee-8023</v>
      </c>
      <c r="E214" s="9" t="str">
        <v>frame check sequence and invalid frame handling</v>
      </c>
      <c r="F214" s="9" t="str">
        <v>zh-CN</v>
      </c>
      <c r="G214" s="9" t="str">
        <v>以太网 FCS 用于检错，验证失败的帧通常被丢弃。</v>
      </c>
      <c r="H214" s="9" t="str">
        <v>author_network</v>
      </c>
      <c r="I214" s="9" t="str">
        <v>author_co</v>
      </c>
      <c r="J214" s="9" t="str">
        <v>通过</v>
      </c>
      <c r="K214" s="9" t="str">
        <v>通过</v>
      </c>
      <c r="L214" s="9" t="str">
        <v>通过</v>
      </c>
      <c r="M214" s="10" t="str">
        <v>通过</v>
      </c>
    </row>
    <row r="215">
      <c r="A215" s="9" t="str">
        <v>WEB-20260717-NET-014</v>
      </c>
      <c r="B215" s="9" t="str">
        <v>network</v>
      </c>
      <c r="C215" s="9" t="str">
        <v>multiple</v>
      </c>
      <c r="D215" s="9" t="str">
        <v>ieee-8021q</v>
      </c>
      <c r="E215" s="9" t="str">
        <v>VLAN tagging and VLAN-aware forwarding</v>
      </c>
      <c r="F215" s="9" t="str">
        <v>zh-CN</v>
      </c>
      <c r="G215" s="9" t="str">
        <v>802.1Q 标签标识 VLAN，并支持在共享链路上保持二层转发域隔离。</v>
      </c>
      <c r="H215" s="9" t="str">
        <v>author_network</v>
      </c>
      <c r="I215" s="9" t="str">
        <v>author_co</v>
      </c>
      <c r="J215" s="9" t="str">
        <v>通过</v>
      </c>
      <c r="K215" s="9" t="str">
        <v>通过</v>
      </c>
      <c r="L215" s="9" t="str">
        <v>通过</v>
      </c>
      <c r="M215" s="10" t="str">
        <v>通过</v>
      </c>
    </row>
    <row r="216">
      <c r="A216" s="9" t="str">
        <v>WEB-20260717-NET-015</v>
      </c>
      <c r="B216" s="9" t="str">
        <v>network</v>
      </c>
      <c r="C216" s="9" t="str">
        <v>judge</v>
      </c>
      <c r="D216" s="9" t="str">
        <v>ieee-8023</v>
      </c>
      <c r="E216" s="9" t="str">
        <v>full-duplex MAC operation without collision detection</v>
      </c>
      <c r="F216" s="9" t="str">
        <v>zh-CN</v>
      </c>
      <c r="G216" s="9" t="str">
        <v>全双工交换式以太网不使用碰撞检测来决定发送时机。</v>
      </c>
      <c r="H216" s="9" t="str">
        <v>author_network</v>
      </c>
      <c r="I216" s="9" t="str">
        <v>author_co</v>
      </c>
      <c r="J216" s="9" t="str">
        <v>通过</v>
      </c>
      <c r="K216" s="9" t="str">
        <v>通过</v>
      </c>
      <c r="L216" s="9" t="str">
        <v>通过</v>
      </c>
      <c r="M216" s="10" t="str">
        <v>通过</v>
      </c>
    </row>
    <row r="217">
      <c r="A217" s="9" t="str">
        <v>WEB-20260717-NET-016</v>
      </c>
      <c r="B217" s="9" t="str">
        <v>network</v>
      </c>
      <c r="C217" s="9" t="str">
        <v>short_answer</v>
      </c>
      <c r="D217" s="9" t="str">
        <v>ieee-8021q</v>
      </c>
      <c r="E217" s="9" t="str">
        <v>port-based VLAN classification|tagged and untagged frames on VLAN-aware links|VLAN-aware forwarding</v>
      </c>
      <c r="F217" s="9" t="str">
        <v>zh-CN</v>
      </c>
      <c r="G217" s="9" t="str">
        <v>单 VLAN 接入依靠端口分类，多 VLAN 链路通常依靠标签并保留各自转发域。</v>
      </c>
      <c r="H217" s="9" t="str">
        <v>author_network</v>
      </c>
      <c r="I217" s="9" t="str">
        <v>author_co</v>
      </c>
      <c r="J217" s="9" t="str">
        <v>通过</v>
      </c>
      <c r="K217" s="9" t="str">
        <v>通过</v>
      </c>
      <c r="L217" s="9" t="str">
        <v>通过</v>
      </c>
      <c r="M217" s="10" t="str">
        <v>通过</v>
      </c>
    </row>
    <row r="218">
      <c r="A218" s="9" t="str">
        <v>WEB-20260717-NET-017</v>
      </c>
      <c r="B218" s="9" t="str">
        <v>network</v>
      </c>
      <c r="C218" s="9" t="str">
        <v>single</v>
      </c>
      <c r="D218" s="9" t="str">
        <v>rfc8200|rfc8201</v>
      </c>
      <c r="E218" s="9" t="str">
        <v>IPv6 fragmentation by source nodes|Path MTU adaptation</v>
      </c>
      <c r="F218" s="9" t="str">
        <v>zh-CN</v>
      </c>
      <c r="G218" s="9" t="str">
        <v>IPv6 路由器不分片，需要时由源节点构造分片。</v>
      </c>
      <c r="H218" s="9" t="str">
        <v>author_network</v>
      </c>
      <c r="I218" s="9" t="str">
        <v>author_co</v>
      </c>
      <c r="J218" s="9" t="str">
        <v>通过</v>
      </c>
      <c r="K218" s="9" t="str">
        <v>通过</v>
      </c>
      <c r="L218" s="9" t="str">
        <v>通过</v>
      </c>
      <c r="M218" s="10" t="str">
        <v>通过</v>
      </c>
    </row>
    <row r="219">
      <c r="A219" s="9" t="str">
        <v>WEB-20260717-NET-018</v>
      </c>
      <c r="B219" s="9" t="str">
        <v>network</v>
      </c>
      <c r="C219" s="9" t="str">
        <v>single</v>
      </c>
      <c r="D219" s="9" t="str">
        <v>rfc8200|rfc4443</v>
      </c>
      <c r="E219" s="9" t="str">
        <v>RFC 8200 Section 3 Hop Limit processing|RFC 4443 Section 3.3 Time Exceeded, Code 0</v>
      </c>
      <c r="F219" s="9" t="str">
        <v>zh-CN</v>
      </c>
      <c r="G219" s="9" t="str">
        <v>转发时 Hop Limit 耗尽，路由器必须丢弃数据包并产生 ICMPv6 Time Exceeded。</v>
      </c>
      <c r="H219" s="9" t="str">
        <v>author_network</v>
      </c>
      <c r="I219" s="9" t="str">
        <v>author_co</v>
      </c>
      <c r="J219" s="9" t="str">
        <v>通过</v>
      </c>
      <c r="K219" s="9" t="str">
        <v>通过</v>
      </c>
      <c r="L219" s="9" t="str">
        <v>通过</v>
      </c>
      <c r="M219" s="10" t="str">
        <v>通过</v>
      </c>
    </row>
    <row r="220">
      <c r="A220" s="9" t="str">
        <v>WEB-20260717-NET-019</v>
      </c>
      <c r="B220" s="9" t="str">
        <v>network</v>
      </c>
      <c r="C220" s="9" t="str">
        <v>single</v>
      </c>
      <c r="D220" s="9" t="str">
        <v>rfc8200</v>
      </c>
      <c r="E220" s="9" t="str">
        <v>IPv6 fixed header Next Header field</v>
      </c>
      <c r="F220" s="9" t="str">
        <v>zh-CN</v>
      </c>
      <c r="G220" s="9" t="str">
        <v>Next Header 把 IPv6 基本首部、扩展首部和上层首部连接成可解析的链。</v>
      </c>
      <c r="H220" s="9" t="str">
        <v>author_network</v>
      </c>
      <c r="I220" s="9" t="str">
        <v>author_co</v>
      </c>
      <c r="J220" s="9" t="str">
        <v>通过</v>
      </c>
      <c r="K220" s="9" t="str">
        <v>通过</v>
      </c>
      <c r="L220" s="9" t="str">
        <v>通过</v>
      </c>
      <c r="M220" s="10" t="str">
        <v>通过</v>
      </c>
    </row>
    <row r="221">
      <c r="A221" s="9" t="str">
        <v>WEB-20260717-NET-020</v>
      </c>
      <c r="B221" s="9" t="str">
        <v>network</v>
      </c>
      <c r="C221" s="9" t="str">
        <v>single</v>
      </c>
      <c r="D221" s="9" t="str">
        <v>rfc4861|rfc4443</v>
      </c>
      <c r="E221" s="9" t="str">
        <v>Neighbor Solicitation and Advertisement|ICMPv6 message framework</v>
      </c>
      <c r="F221" s="9" t="str">
        <v>zh-CN</v>
      </c>
      <c r="G221" s="9" t="str">
        <v>IPv6 通过基于 ICMPv6 的邻居发现解析同链路地址。</v>
      </c>
      <c r="H221" s="9" t="str">
        <v>author_network</v>
      </c>
      <c r="I221" s="9" t="str">
        <v>author_co</v>
      </c>
      <c r="J221" s="9" t="str">
        <v>通过</v>
      </c>
      <c r="K221" s="9" t="str">
        <v>通过</v>
      </c>
      <c r="L221" s="9" t="str">
        <v>通过</v>
      </c>
      <c r="M221" s="10" t="str">
        <v>通过</v>
      </c>
    </row>
    <row r="222">
      <c r="A222" s="9" t="str">
        <v>WEB-20260717-NET-021</v>
      </c>
      <c r="B222" s="9" t="str">
        <v>network</v>
      </c>
      <c r="C222" s="9" t="str">
        <v>single</v>
      </c>
      <c r="D222" s="9" t="str">
        <v>rfc4443|rfc8201</v>
      </c>
      <c r="E222" s="9" t="str">
        <v>ICMPv6 Packet Too Big|Path MTU Discovery feedback</v>
      </c>
      <c r="F222" s="9" t="str">
        <v>zh-CN</v>
      </c>
      <c r="G222" s="9" t="str">
        <v>IPv6 路径 MTU 反馈依赖 ICMPv6 Packet Too Big 消息。</v>
      </c>
      <c r="H222" s="9" t="str">
        <v>author_network</v>
      </c>
      <c r="I222" s="9" t="str">
        <v>author_co</v>
      </c>
      <c r="J222" s="9" t="str">
        <v>通过</v>
      </c>
      <c r="K222" s="9" t="str">
        <v>通过</v>
      </c>
      <c r="L222" s="9" t="str">
        <v>通过</v>
      </c>
      <c r="M222" s="10" t="str">
        <v>通过</v>
      </c>
    </row>
    <row r="223">
      <c r="A223" s="9" t="str">
        <v>WEB-20260717-NET-022</v>
      </c>
      <c r="B223" s="9" t="str">
        <v>network</v>
      </c>
      <c r="C223" s="9" t="str">
        <v>single</v>
      </c>
      <c r="D223" s="9" t="str">
        <v>rfc4861</v>
      </c>
      <c r="E223" s="9" t="str">
        <v>RFC 4861 Section 2.3: link-local unicast address has link-only scope</v>
      </c>
      <c r="F223" s="9" t="str">
        <v>zh-CN</v>
      </c>
      <c r="G223" s="9" t="str">
        <v>IPv6 链路本地地址具有 link-only scope，只用于所在链路。</v>
      </c>
      <c r="H223" s="9" t="str">
        <v>author_network</v>
      </c>
      <c r="I223" s="9" t="str">
        <v>author_co</v>
      </c>
      <c r="J223" s="9" t="str">
        <v>通过</v>
      </c>
      <c r="K223" s="9" t="str">
        <v>通过</v>
      </c>
      <c r="L223" s="9" t="str">
        <v>通过</v>
      </c>
      <c r="M223" s="10" t="str">
        <v>通过</v>
      </c>
    </row>
    <row r="224">
      <c r="A224" s="9" t="str">
        <v>WEB-20260717-NET-023</v>
      </c>
      <c r="B224" s="9" t="str">
        <v>network</v>
      </c>
      <c r="C224" s="9" t="str">
        <v>single</v>
      </c>
      <c r="D224" s="9" t="str">
        <v>rfc4861</v>
      </c>
      <c r="E224" s="9" t="str">
        <v>RFC 4861 Section 2.3: all-nodes, all-routers and solicited-node multicast addresses</v>
      </c>
      <c r="F224" s="9" t="str">
        <v>zh-CN</v>
      </c>
      <c r="G224" s="9" t="str">
        <v>IPv6 邻居发现使用具有适当链路作用域的组播地址面向节点集合。</v>
      </c>
      <c r="H224" s="9" t="str">
        <v>author_network</v>
      </c>
      <c r="I224" s="9" t="str">
        <v>author_co</v>
      </c>
      <c r="J224" s="9" t="str">
        <v>通过</v>
      </c>
      <c r="K224" s="9" t="str">
        <v>通过</v>
      </c>
      <c r="L224" s="9" t="str">
        <v>通过</v>
      </c>
      <c r="M224" s="10" t="str">
        <v>通过</v>
      </c>
    </row>
    <row r="225">
      <c r="A225" s="9" t="str">
        <v>WEB-20260717-NET-024</v>
      </c>
      <c r="B225" s="9" t="str">
        <v>network</v>
      </c>
      <c r="C225" s="9" t="str">
        <v>multiple</v>
      </c>
      <c r="D225" s="9" t="str">
        <v>rfc8200</v>
      </c>
      <c r="E225" s="9" t="str">
        <v>IPv6 fixed header format|Hop Limit|Next Header</v>
      </c>
      <c r="F225" s="9" t="str">
        <v>zh-CN</v>
      </c>
      <c r="G225" s="9" t="str">
        <v>IPv6 基本首部固定且无首部校验和，依靠字段链描述后续首部。</v>
      </c>
      <c r="H225" s="9" t="str">
        <v>author_network</v>
      </c>
      <c r="I225" s="9" t="str">
        <v>author_co</v>
      </c>
      <c r="J225" s="9" t="str">
        <v>通过</v>
      </c>
      <c r="K225" s="9" t="str">
        <v>通过</v>
      </c>
      <c r="L225" s="9" t="str">
        <v>通过</v>
      </c>
      <c r="M225" s="10" t="str">
        <v>通过</v>
      </c>
    </row>
    <row r="226">
      <c r="A226" s="9" t="str">
        <v>WEB-20260717-NET-025</v>
      </c>
      <c r="B226" s="9" t="str">
        <v>network</v>
      </c>
      <c r="C226" s="9" t="str">
        <v>multiple</v>
      </c>
      <c r="D226" s="9" t="str">
        <v>rfc4861</v>
      </c>
      <c r="E226" s="9" t="str">
        <v>Router Discovery|Address Resolution|Neighbor Unreachability Detection</v>
      </c>
      <c r="F226" s="9" t="str">
        <v>zh-CN</v>
      </c>
      <c r="G226" s="9" t="str">
        <v>IPv6 邻居发现覆盖路由器发现、地址解析和邻居可达性检测。</v>
      </c>
      <c r="H226" s="9" t="str">
        <v>author_network</v>
      </c>
      <c r="I226" s="9" t="str">
        <v>author_co</v>
      </c>
      <c r="J226" s="9" t="str">
        <v>通过</v>
      </c>
      <c r="K226" s="9" t="str">
        <v>通过</v>
      </c>
      <c r="L226" s="9" t="str">
        <v>通过</v>
      </c>
      <c r="M226" s="10" t="str">
        <v>通过</v>
      </c>
    </row>
    <row r="227">
      <c r="A227" s="9" t="str">
        <v>WEB-20260717-NET-026</v>
      </c>
      <c r="B227" s="9" t="str">
        <v>network</v>
      </c>
      <c r="C227" s="9" t="str">
        <v>judge</v>
      </c>
      <c r="D227" s="9" t="str">
        <v>rfc8200|rfc8201|rfc4443</v>
      </c>
      <c r="E227" s="9" t="str">
        <v>source-only fragmentation|Path MTU Discovery|Packet Too Big</v>
      </c>
      <c r="F227" s="9" t="str">
        <v>zh-CN</v>
      </c>
      <c r="G227" s="9" t="str">
        <v>IPv6 分片由源节点负责，中间路由器不分片。</v>
      </c>
      <c r="H227" s="9" t="str">
        <v>author_network</v>
      </c>
      <c r="I227" s="9" t="str">
        <v>author_co</v>
      </c>
      <c r="J227" s="9" t="str">
        <v>通过</v>
      </c>
      <c r="K227" s="9" t="str">
        <v>通过</v>
      </c>
      <c r="L227" s="9" t="str">
        <v>通过</v>
      </c>
      <c r="M227" s="10" t="str">
        <v>通过</v>
      </c>
    </row>
    <row r="228">
      <c r="A228" s="9" t="str">
        <v>WEB-20260717-NET-027</v>
      </c>
      <c r="B228" s="9" t="str">
        <v>network</v>
      </c>
      <c r="C228" s="9" t="str">
        <v>fill_blank</v>
      </c>
      <c r="D228" s="9" t="str">
        <v>rfc8200</v>
      </c>
      <c r="E228" s="9" t="str">
        <v>IPv6 fixed header Hop Limit field</v>
      </c>
      <c r="F228" s="9" t="str">
        <v>zh-CN</v>
      </c>
      <c r="G228" s="9" t="str">
        <v>IPv6 使用 Hop Limit 限制逐跳转发次数。</v>
      </c>
      <c r="H228" s="9" t="str">
        <v>author_network</v>
      </c>
      <c r="I228" s="9" t="str">
        <v>author_co</v>
      </c>
      <c r="J228" s="9" t="str">
        <v>通过</v>
      </c>
      <c r="K228" s="9" t="str">
        <v>通过</v>
      </c>
      <c r="L228" s="9" t="str">
        <v>通过</v>
      </c>
      <c r="M228" s="10" t="str">
        <v>通过</v>
      </c>
    </row>
    <row r="229">
      <c r="A229" s="9" t="str">
        <v>WEB-20260717-NET-028</v>
      </c>
      <c r="B229" s="9" t="str">
        <v>network</v>
      </c>
      <c r="C229" s="9" t="str">
        <v>short_answer</v>
      </c>
      <c r="D229" s="9" t="str">
        <v>rfc8201|rfc4443|rfc8200</v>
      </c>
      <c r="E229" s="9" t="str">
        <v>Path MTU Discovery procedure|Packet Too Big message|IPv6 fragmentation model</v>
      </c>
      <c r="F229" s="9" t="str">
        <v>zh-CN</v>
      </c>
      <c r="G229" s="9" t="str">
        <v>IPv6 PMTUD 依靠路由器反馈和源端调整，路由器本身不分片。</v>
      </c>
      <c r="H229" s="9" t="str">
        <v>author_network</v>
      </c>
      <c r="I229" s="9" t="str">
        <v>author_co</v>
      </c>
      <c r="J229" s="9" t="str">
        <v>通过</v>
      </c>
      <c r="K229" s="9" t="str">
        <v>通过</v>
      </c>
      <c r="L229" s="9" t="str">
        <v>通过</v>
      </c>
      <c r="M229" s="10" t="str">
        <v>通过</v>
      </c>
    </row>
    <row r="230">
      <c r="A230" s="9" t="str">
        <v>WEB-20260717-NET-029</v>
      </c>
      <c r="B230" s="9" t="str">
        <v>network</v>
      </c>
      <c r="C230" s="9" t="str">
        <v>single</v>
      </c>
      <c r="D230" s="9" t="str">
        <v>rfc9293</v>
      </c>
      <c r="E230" s="9" t="str">
        <v>retransmission and TCP sequence space</v>
      </c>
      <c r="F230" s="9" t="str">
        <v>zh-CN</v>
      </c>
      <c r="G230" s="9" t="str">
        <v>TCP 重传复用原连接的序号空间，不会建立新连接。</v>
      </c>
      <c r="H230" s="9" t="str">
        <v>author_network</v>
      </c>
      <c r="I230" s="9" t="str">
        <v>author_co</v>
      </c>
      <c r="J230" s="9" t="str">
        <v>通过</v>
      </c>
      <c r="K230" s="9" t="str">
        <v>通过</v>
      </c>
      <c r="L230" s="9" t="str">
        <v>通过</v>
      </c>
      <c r="M230" s="10" t="str">
        <v>通过</v>
      </c>
    </row>
    <row r="231">
      <c r="A231" s="9" t="str">
        <v>WEB-20260717-NET-030</v>
      </c>
      <c r="B231" s="9" t="str">
        <v>network</v>
      </c>
      <c r="C231" s="9" t="str">
        <v>single</v>
      </c>
      <c r="D231" s="9" t="str">
        <v>rfc9293</v>
      </c>
      <c r="E231" s="9" t="str">
        <v>simultaneous connection synchronization</v>
      </c>
      <c r="F231" s="9" t="str">
        <v>zh-CN</v>
      </c>
      <c r="G231" s="9" t="str">
        <v>TCP 状态机支持双方 SYN 交叉的同时打开情形。</v>
      </c>
      <c r="H231" s="9" t="str">
        <v>author_network</v>
      </c>
      <c r="I231" s="9" t="str">
        <v>author_co</v>
      </c>
      <c r="J231" s="9" t="str">
        <v>通过</v>
      </c>
      <c r="K231" s="9" t="str">
        <v>通过</v>
      </c>
      <c r="L231" s="9" t="str">
        <v>通过</v>
      </c>
      <c r="M231" s="10" t="str">
        <v>通过</v>
      </c>
    </row>
    <row r="232">
      <c r="A232" s="9" t="str">
        <v>WEB-20260717-NET-031</v>
      </c>
      <c r="B232" s="9" t="str">
        <v>network</v>
      </c>
      <c r="C232" s="9" t="str">
        <v>single</v>
      </c>
      <c r="D232" s="9" t="str">
        <v>rfc9293</v>
      </c>
      <c r="E232" s="9" t="str">
        <v>SYN consumption of sequence space</v>
      </c>
      <c r="F232" s="9" t="str">
        <v>zh-CN</v>
      </c>
      <c r="G232" s="9" t="str">
        <v>TCP 的 SYN 和 FIN 都会占用序号空间中的一个位置。</v>
      </c>
      <c r="H232" s="9" t="str">
        <v>author_network</v>
      </c>
      <c r="I232" s="9" t="str">
        <v>author_co</v>
      </c>
      <c r="J232" s="9" t="str">
        <v>通过</v>
      </c>
      <c r="K232" s="9" t="str">
        <v>通过</v>
      </c>
      <c r="L232" s="9" t="str">
        <v>通过</v>
      </c>
      <c r="M232" s="10" t="str">
        <v>通过</v>
      </c>
    </row>
    <row r="233">
      <c r="A233" s="9" t="str">
        <v>WEB-20260717-NET-032</v>
      </c>
      <c r="B233" s="9" t="str">
        <v>network</v>
      </c>
      <c r="C233" s="9" t="str">
        <v>single</v>
      </c>
      <c r="D233" s="9" t="str">
        <v>rfc9293</v>
      </c>
      <c r="E233" s="9" t="str">
        <v>TCP receive window and flow control</v>
      </c>
      <c r="F233" s="9" t="str">
        <v>zh-CN</v>
      </c>
      <c r="G233" s="9" t="str">
        <v>TCP 接收窗口反映接收能力，用于端到端流量控制。</v>
      </c>
      <c r="H233" s="9" t="str">
        <v>author_network</v>
      </c>
      <c r="I233" s="9" t="str">
        <v>author_co</v>
      </c>
      <c r="J233" s="9" t="str">
        <v>通过</v>
      </c>
      <c r="K233" s="9" t="str">
        <v>通过</v>
      </c>
      <c r="L233" s="9" t="str">
        <v>通过</v>
      </c>
      <c r="M233" s="10" t="str">
        <v>通过</v>
      </c>
    </row>
    <row r="234">
      <c r="A234" s="9" t="str">
        <v>WEB-20260717-NET-033</v>
      </c>
      <c r="B234" s="9" t="str">
        <v>network</v>
      </c>
      <c r="C234" s="9" t="str">
        <v>single</v>
      </c>
      <c r="D234" s="9" t="str">
        <v>rfc9293</v>
      </c>
      <c r="E234" s="9" t="str">
        <v>TIME-WAIT state and connection termination</v>
      </c>
      <c r="F234" s="9" t="str">
        <v>zh-CN</v>
      </c>
      <c r="G234" s="9" t="str">
        <v>TIME-WAIT 保护连接终止可靠性并隔离网络中的旧报文。</v>
      </c>
      <c r="H234" s="9" t="str">
        <v>author_network</v>
      </c>
      <c r="I234" s="9" t="str">
        <v>author_co</v>
      </c>
      <c r="J234" s="9" t="str">
        <v>通过</v>
      </c>
      <c r="K234" s="9" t="str">
        <v>通过</v>
      </c>
      <c r="L234" s="9" t="str">
        <v>通过</v>
      </c>
      <c r="M234" s="10" t="str">
        <v>通过</v>
      </c>
    </row>
    <row r="235">
      <c r="A235" s="9" t="str">
        <v>WEB-20260717-NET-034</v>
      </c>
      <c r="B235" s="9" t="str">
        <v>network</v>
      </c>
      <c r="C235" s="9" t="str">
        <v>single</v>
      </c>
      <c r="D235" s="9" t="str">
        <v>rfc9293</v>
      </c>
      <c r="E235" s="9" t="str">
        <v>TCP half-close and FIN processing</v>
      </c>
      <c r="F235" s="9" t="str">
        <v>zh-CN</v>
      </c>
      <c r="G235" s="9" t="str">
        <v>TCP 支持单向关闭，收到 FIN 不等于本端发送方向立即失效。</v>
      </c>
      <c r="H235" s="9" t="str">
        <v>author_network</v>
      </c>
      <c r="I235" s="9" t="str">
        <v>author_co</v>
      </c>
      <c r="J235" s="9" t="str">
        <v>通过</v>
      </c>
      <c r="K235" s="9" t="str">
        <v>通过</v>
      </c>
      <c r="L235" s="9" t="str">
        <v>通过</v>
      </c>
      <c r="M235" s="10" t="str">
        <v>通过</v>
      </c>
    </row>
    <row r="236">
      <c r="A236" s="9" t="str">
        <v>WEB-20260717-NET-035</v>
      </c>
      <c r="B236" s="9" t="str">
        <v>network</v>
      </c>
      <c r="C236" s="9" t="str">
        <v>multiple</v>
      </c>
      <c r="D236" s="9" t="str">
        <v>rfc9293</v>
      </c>
      <c r="E236" s="9" t="str">
        <v>sequence numbers|acknowledgments|retransmission|TCP checksum</v>
      </c>
      <c r="F236" s="9" t="str">
        <v>zh-CN</v>
      </c>
      <c r="G236" s="9" t="str">
        <v>TCP 结合序号、确认、重传和校验实现可靠有序传输。</v>
      </c>
      <c r="H236" s="9" t="str">
        <v>author_network</v>
      </c>
      <c r="I236" s="9" t="str">
        <v>author_co</v>
      </c>
      <c r="J236" s="9" t="str">
        <v>通过</v>
      </c>
      <c r="K236" s="9" t="str">
        <v>通过</v>
      </c>
      <c r="L236" s="9" t="str">
        <v>通过</v>
      </c>
      <c r="M236" s="10" t="str">
        <v>通过</v>
      </c>
    </row>
    <row r="237">
      <c r="A237" s="9" t="str">
        <v>WEB-20260717-NET-036</v>
      </c>
      <c r="B237" s="9" t="str">
        <v>network</v>
      </c>
      <c r="C237" s="9" t="str">
        <v>multiple</v>
      </c>
      <c r="D237" s="9" t="str">
        <v>rfc8085</v>
      </c>
      <c r="E237" s="9" t="str">
        <v>congestion control guidelines|message size guidelines|reliability considerations</v>
      </c>
      <c r="F237" s="9" t="str">
        <v>zh-CN</v>
      </c>
      <c r="G237" s="9" t="str">
        <v>UDP 应用需自行处理拥塞、数据报大小以及丢失乱序等问题。</v>
      </c>
      <c r="H237" s="9" t="str">
        <v>author_network</v>
      </c>
      <c r="I237" s="9" t="str">
        <v>author_co</v>
      </c>
      <c r="J237" s="9" t="str">
        <v>通过</v>
      </c>
      <c r="K237" s="9" t="str">
        <v>通过</v>
      </c>
      <c r="L237" s="9" t="str">
        <v>通过</v>
      </c>
      <c r="M237" s="10" t="str">
        <v>通过</v>
      </c>
    </row>
    <row r="238">
      <c r="A238" s="9" t="str">
        <v>WEB-20260717-NET-037</v>
      </c>
      <c r="B238" s="9" t="str">
        <v>network</v>
      </c>
      <c r="C238" s="9" t="str">
        <v>judge</v>
      </c>
      <c r="D238" s="9" t="str">
        <v>rfc9293</v>
      </c>
      <c r="E238" s="9" t="str">
        <v>TCP acknowledgment semantics</v>
      </c>
      <c r="F238" s="9" t="str">
        <v>zh-CN</v>
      </c>
      <c r="G238" s="9" t="str">
        <v>TCP 确认传输接收状态，不证明上层业务已经完成。</v>
      </c>
      <c r="H238" s="9" t="str">
        <v>author_network</v>
      </c>
      <c r="I238" s="9" t="str">
        <v>author_co</v>
      </c>
      <c r="J238" s="9" t="str">
        <v>通过</v>
      </c>
      <c r="K238" s="9" t="str">
        <v>通过</v>
      </c>
      <c r="L238" s="9" t="str">
        <v>通过</v>
      </c>
      <c r="M238" s="10" t="str">
        <v>通过</v>
      </c>
    </row>
    <row r="239">
      <c r="A239" s="9" t="str">
        <v>WEB-20260717-NET-038</v>
      </c>
      <c r="B239" s="9" t="str">
        <v>network</v>
      </c>
      <c r="C239" s="9" t="str">
        <v>fill_blank</v>
      </c>
      <c r="D239" s="9" t="str">
        <v>rfc9293</v>
      </c>
      <c r="E239" s="9" t="str">
        <v>TIME-WAIT state</v>
      </c>
      <c r="F239" s="9" t="str">
        <v>zh-CN</v>
      </c>
      <c r="G239" s="9" t="str">
        <v>TIME-WAIT 用于可靠终止并隔离旧连接报文。</v>
      </c>
      <c r="H239" s="9" t="str">
        <v>author_network</v>
      </c>
      <c r="I239" s="9" t="str">
        <v>author_co</v>
      </c>
      <c r="J239" s="9" t="str">
        <v>通过</v>
      </c>
      <c r="K239" s="9" t="str">
        <v>通过</v>
      </c>
      <c r="L239" s="9" t="str">
        <v>通过</v>
      </c>
      <c r="M239" s="10" t="str">
        <v>通过</v>
      </c>
    </row>
    <row r="240">
      <c r="A240" s="9" t="str">
        <v>WEB-20260717-NET-039</v>
      </c>
      <c r="B240" s="9" t="str">
        <v>network</v>
      </c>
      <c r="C240" s="9" t="str">
        <v>short_answer</v>
      </c>
      <c r="D240" s="9" t="str">
        <v>rfc9293</v>
      </c>
      <c r="E240" s="9" t="str">
        <v>RFC 9293 Section 3.8.6 receive-window flow control|RFC 9293 Section 3.8.2 TCP congestion control requirement</v>
      </c>
      <c r="F240" s="9" t="str">
        <v>zh-CN</v>
      </c>
      <c r="G240" s="9" t="str">
        <v>接收窗口保护端点缓冲，拥塞限制保护网络路径，发送量受两者共同约束。</v>
      </c>
      <c r="H240" s="9" t="str">
        <v>author_network</v>
      </c>
      <c r="I240" s="9" t="str">
        <v>author_co</v>
      </c>
      <c r="J240" s="9" t="str">
        <v>通过</v>
      </c>
      <c r="K240" s="9" t="str">
        <v>通过</v>
      </c>
      <c r="L240" s="9" t="str">
        <v>通过</v>
      </c>
      <c r="M240" s="10" t="str">
        <v>通过</v>
      </c>
    </row>
    <row r="241">
      <c r="A241" s="9" t="str">
        <v>WEB-20260717-NET-040</v>
      </c>
      <c r="B241" s="9" t="str">
        <v>network</v>
      </c>
      <c r="C241" s="9" t="str">
        <v>single</v>
      </c>
      <c r="D241" s="9" t="str">
        <v>rfc1034|rfc9499</v>
      </c>
      <c r="E241" s="9" t="str">
        <v>RFC 1034 Section 5.3 resolver and name server roles|RFC 9499 Section 6 recursive resolver and authoritative server terminology</v>
      </c>
      <c r="F241" s="9" t="str">
        <v>zh-CN</v>
      </c>
      <c r="G241" s="9" t="str">
        <v>递归解析器代客户端完成解析，权威服务器提供所管区域的权威数据。</v>
      </c>
      <c r="H241" s="9" t="str">
        <v>author_network</v>
      </c>
      <c r="I241" s="9" t="str">
        <v>author_co</v>
      </c>
      <c r="J241" s="9" t="str">
        <v>通过</v>
      </c>
      <c r="K241" s="9" t="str">
        <v>通过</v>
      </c>
      <c r="L241" s="9" t="str">
        <v>通过</v>
      </c>
      <c r="M241" s="10" t="str">
        <v>通过</v>
      </c>
    </row>
    <row r="242">
      <c r="A242" s="9" t="str">
        <v>WEB-20260717-NET-041</v>
      </c>
      <c r="B242" s="9" t="str">
        <v>network</v>
      </c>
      <c r="C242" s="9" t="str">
        <v>single</v>
      </c>
      <c r="D242" s="9" t="str">
        <v>rfc1034|rfc1035</v>
      </c>
      <c r="E242" s="9" t="str">
        <v>DNS caching and time to live|resource record TTL field</v>
      </c>
      <c r="F242" s="9" t="str">
        <v>zh-CN</v>
      </c>
      <c r="G242" s="9" t="str">
        <v>DNS TTL 控制缓存记录在重新获取前的可用期限。</v>
      </c>
      <c r="H242" s="9" t="str">
        <v>author_network</v>
      </c>
      <c r="I242" s="9" t="str">
        <v>author_co</v>
      </c>
      <c r="J242" s="9" t="str">
        <v>通过</v>
      </c>
      <c r="K242" s="9" t="str">
        <v>通过</v>
      </c>
      <c r="L242" s="9" t="str">
        <v>通过</v>
      </c>
      <c r="M242" s="10" t="str">
        <v>通过</v>
      </c>
    </row>
    <row r="243">
      <c r="A243" s="9" t="str">
        <v>WEB-20260717-NET-042</v>
      </c>
      <c r="B243" s="9" t="str">
        <v>network</v>
      </c>
      <c r="C243" s="9" t="str">
        <v>single</v>
      </c>
      <c r="D243" s="9" t="str">
        <v>rfc6891</v>
      </c>
      <c r="E243" s="9" t="str">
        <v>OPT pseudo-resource-record and extended UDP payload size</v>
      </c>
      <c r="F243" s="9" t="str">
        <v>zh-CN</v>
      </c>
      <c r="G243" s="9" t="str">
        <v>EDNS(0) 通过 OPT 伪资源记录扩展 DNS 能力与参数。</v>
      </c>
      <c r="H243" s="9" t="str">
        <v>author_network</v>
      </c>
      <c r="I243" s="9" t="str">
        <v>author_co</v>
      </c>
      <c r="J243" s="9" t="str">
        <v>通过</v>
      </c>
      <c r="K243" s="9" t="str">
        <v>通过</v>
      </c>
      <c r="L243" s="9" t="str">
        <v>通过</v>
      </c>
      <c r="M243" s="10" t="str">
        <v>通过</v>
      </c>
    </row>
    <row r="244">
      <c r="A244" s="9" t="str">
        <v>WEB-20260717-NET-043</v>
      </c>
      <c r="B244" s="9" t="str">
        <v>network</v>
      </c>
      <c r="C244" s="9" t="str">
        <v>single</v>
      </c>
      <c r="D244" s="9" t="str">
        <v>rfc7766|rfc1035</v>
      </c>
      <c r="E244" s="9" t="str">
        <v>RFC 7766 Section 6.1: general-purpose DNS implementations MUST support UDP and TCP|RFC 1035 Section 4.2.2: truncated UDP response and TCP retry</v>
      </c>
      <c r="F244" s="9" t="str">
        <v>zh-CN</v>
      </c>
      <c r="G244" s="9" t="str">
        <v>通用 DNS 实现必须支持 UDP 和 TCP，截断响应是改用 TCP 的典型场景。</v>
      </c>
      <c r="H244" s="9" t="str">
        <v>author_network</v>
      </c>
      <c r="I244" s="9" t="str">
        <v>author_co</v>
      </c>
      <c r="J244" s="9" t="str">
        <v>通过</v>
      </c>
      <c r="K244" s="9" t="str">
        <v>通过</v>
      </c>
      <c r="L244" s="9" t="str">
        <v>通过</v>
      </c>
      <c r="M244" s="10" t="str">
        <v>通过</v>
      </c>
    </row>
    <row r="245">
      <c r="A245" s="9" t="str">
        <v>WEB-20260717-NET-044</v>
      </c>
      <c r="B245" s="9" t="str">
        <v>network</v>
      </c>
      <c r="C245" s="9" t="str">
        <v>single</v>
      </c>
      <c r="D245" s="9" t="str">
        <v>rfc9110</v>
      </c>
      <c r="E245" s="9" t="str">
        <v>idempotent methods semantics</v>
      </c>
      <c r="F245" s="9" t="str">
        <v>zh-CN</v>
      </c>
      <c r="G245" s="9" t="str">
        <v>HTTP 幂等性约束预期服务器效果，不要求响应或附带记录完全相同。</v>
      </c>
      <c r="H245" s="9" t="str">
        <v>author_network</v>
      </c>
      <c r="I245" s="9" t="str">
        <v>author_co</v>
      </c>
      <c r="J245" s="9" t="str">
        <v>通过</v>
      </c>
      <c r="K245" s="9" t="str">
        <v>通过</v>
      </c>
      <c r="L245" s="9" t="str">
        <v>通过</v>
      </c>
      <c r="M245" s="10" t="str">
        <v>通过</v>
      </c>
    </row>
    <row r="246">
      <c r="A246" s="9" t="str">
        <v>WEB-20260717-NET-045</v>
      </c>
      <c r="B246" s="9" t="str">
        <v>network</v>
      </c>
      <c r="C246" s="9" t="str">
        <v>single</v>
      </c>
      <c r="D246" s="9" t="str">
        <v>rfc8446</v>
      </c>
      <c r="E246" s="9" t="str">
        <v>0-RTT data and replay properties</v>
      </c>
      <c r="F246" s="9" t="str">
        <v>zh-CN</v>
      </c>
      <c r="G246" s="9" t="str">
        <v>TLS 1.3 早期数据可能被重放，应用必须限制可接受的操作。</v>
      </c>
      <c r="H246" s="9" t="str">
        <v>author_network</v>
      </c>
      <c r="I246" s="9" t="str">
        <v>author_co</v>
      </c>
      <c r="J246" s="9" t="str">
        <v>通过</v>
      </c>
      <c r="K246" s="9" t="str">
        <v>通过</v>
      </c>
      <c r="L246" s="9" t="str">
        <v>通过</v>
      </c>
      <c r="M246" s="10" t="str">
        <v>通过</v>
      </c>
    </row>
    <row r="247">
      <c r="A247" s="9" t="str">
        <v>WEB-20260717-NET-046</v>
      </c>
      <c r="B247" s="9" t="str">
        <v>network</v>
      </c>
      <c r="C247" s="9" t="str">
        <v>single</v>
      </c>
      <c r="D247" s="9" t="str">
        <v>rfc9000</v>
      </c>
      <c r="E247" s="9" t="str">
        <v>QUIC streams and multiplexing</v>
      </c>
      <c r="F247" s="9" t="str">
        <v>zh-CN</v>
      </c>
      <c r="G247" s="9" t="str">
        <v>QUIC 以独立流降低单一有序字节流造成的跨流队头阻塞。</v>
      </c>
      <c r="H247" s="9" t="str">
        <v>author_network</v>
      </c>
      <c r="I247" s="9" t="str">
        <v>author_co</v>
      </c>
      <c r="J247" s="9" t="str">
        <v>通过</v>
      </c>
      <c r="K247" s="9" t="str">
        <v>通过</v>
      </c>
      <c r="L247" s="9" t="str">
        <v>通过</v>
      </c>
      <c r="M247" s="10" t="str">
        <v>通过</v>
      </c>
    </row>
    <row r="248">
      <c r="A248" s="9" t="str">
        <v>WEB-20260717-NET-047</v>
      </c>
      <c r="B248" s="9" t="str">
        <v>network</v>
      </c>
      <c r="C248" s="9" t="str">
        <v>multiple</v>
      </c>
      <c r="D248" s="9" t="str">
        <v>rfc9110</v>
      </c>
      <c r="E248" s="9" t="str">
        <v>safe methods|idempotent methods</v>
      </c>
      <c r="F248" s="9" t="str">
        <v>zh-CN</v>
      </c>
      <c r="G248" s="9" t="str">
        <v>HTTP 安全性描述只读意图，幂等性帮助评估重复请求效果。</v>
      </c>
      <c r="H248" s="9" t="str">
        <v>author_network</v>
      </c>
      <c r="I248" s="9" t="str">
        <v>author_co</v>
      </c>
      <c r="J248" s="9" t="str">
        <v>通过</v>
      </c>
      <c r="K248" s="9" t="str">
        <v>通过</v>
      </c>
      <c r="L248" s="9" t="str">
        <v>通过</v>
      </c>
      <c r="M248" s="10" t="str">
        <v>通过</v>
      </c>
    </row>
    <row r="249">
      <c r="A249" s="9" t="str">
        <v>WEB-20260717-NET-048</v>
      </c>
      <c r="B249" s="9" t="str">
        <v>network</v>
      </c>
      <c r="C249" s="9" t="str">
        <v>multiple</v>
      </c>
      <c r="D249" s="9" t="str">
        <v>rfc1034|rfc1035|rfc9499</v>
      </c>
      <c r="E249" s="9" t="str">
        <v>RFC 1034 recursive resolution and caching|RFC 1035 resource record TTL|RFC 9499 authoritative server terminology</v>
      </c>
      <c r="F249" s="9" t="str">
        <v>zh-CN</v>
      </c>
      <c r="G249" s="9" t="str">
        <v>DNS 递归、权威与缓存是不同职责，TTL 限制缓存有效期。</v>
      </c>
      <c r="H249" s="9" t="str">
        <v>author_network</v>
      </c>
      <c r="I249" s="9" t="str">
        <v>author_co</v>
      </c>
      <c r="J249" s="9" t="str">
        <v>通过</v>
      </c>
      <c r="K249" s="9" t="str">
        <v>通过</v>
      </c>
      <c r="L249" s="9" t="str">
        <v>通过</v>
      </c>
      <c r="M249" s="10" t="str">
        <v>通过</v>
      </c>
    </row>
    <row r="250">
      <c r="A250" s="9" t="str">
        <v>WEB-20260717-NET-049</v>
      </c>
      <c r="B250" s="9" t="str">
        <v>network</v>
      </c>
      <c r="C250" s="9" t="str">
        <v>judge</v>
      </c>
      <c r="D250" s="9" t="str">
        <v>rfc8446</v>
      </c>
      <c r="E250" s="9" t="str">
        <v>security properties of 0-RTT data</v>
      </c>
      <c r="F250" s="9" t="str">
        <v>zh-CN</v>
      </c>
      <c r="G250" s="9" t="str">
        <v>TLS 1.3 的 0-RTT 不提供完整防重放保证，应用需限制用途。</v>
      </c>
      <c r="H250" s="9" t="str">
        <v>author_network</v>
      </c>
      <c r="I250" s="9" t="str">
        <v>author_co</v>
      </c>
      <c r="J250" s="9" t="str">
        <v>通过</v>
      </c>
      <c r="K250" s="9" t="str">
        <v>通过</v>
      </c>
      <c r="L250" s="9" t="str">
        <v>通过</v>
      </c>
      <c r="M250" s="10" t="str">
        <v>通过</v>
      </c>
    </row>
    <row r="251">
      <c r="A251" s="9" t="str">
        <v>WEB-20260717-NET-050</v>
      </c>
      <c r="B251" s="9" t="str">
        <v>network</v>
      </c>
      <c r="C251" s="9" t="str">
        <v>fill_blank</v>
      </c>
      <c r="D251" s="9" t="str">
        <v>rfc1035|rfc7766</v>
      </c>
      <c r="E251" s="9" t="str">
        <v>RFC 1035 Section 4.1.1 TC header flag|RFC 7766 Section 5: TC=1 indicates retry over TCP</v>
      </c>
      <c r="F251" s="9" t="str">
        <v>zh-CN</v>
      </c>
      <c r="G251" s="9" t="str">
        <v>DNS 的 TC 标志表示响应被截断，并提示客户端通过 TCP 重试。</v>
      </c>
      <c r="H251" s="9" t="str">
        <v>author_network</v>
      </c>
      <c r="I251" s="9" t="str">
        <v>author_co</v>
      </c>
      <c r="J251" s="9" t="str">
        <v>通过</v>
      </c>
      <c r="K251" s="9" t="str">
        <v>通过</v>
      </c>
      <c r="L251" s="9" t="str">
        <v>通过</v>
      </c>
      <c r="M251" s="10" t="str">
        <v>通过</v>
      </c>
    </row>
    <row r="252">
      <c r="A252" s="9" t="str">
        <v>WEB-20260717-STL-001</v>
      </c>
      <c r="B252" s="9" t="str">
        <v>stl</v>
      </c>
      <c r="C252" s="9" t="str">
        <v>single</v>
      </c>
      <c r="D252" s="9" t="str">
        <v>wg21-n4950</v>
      </c>
      <c r="E252" s="9" t="str">
        <v>iterator.requirements</v>
      </c>
      <c r="F252" s="9" t="str">
        <v>cpp23</v>
      </c>
      <c r="G252" s="9" t="str">
        <v>尾后迭代器界定范围但不可解引用</v>
      </c>
      <c r="H252" s="9" t="str">
        <v>sources_cpp_linux</v>
      </c>
      <c r="I252" s="9" t="str">
        <v>sources_core_cs</v>
      </c>
      <c r="J252" s="9" t="str">
        <v>通过</v>
      </c>
      <c r="K252" s="9" t="str">
        <v>通过</v>
      </c>
      <c r="L252" s="9" t="str">
        <v>通过</v>
      </c>
      <c r="M252" s="10" t="str">
        <v>通过</v>
      </c>
    </row>
    <row r="253">
      <c r="A253" s="9" t="str">
        <v>WEB-20260717-STL-002</v>
      </c>
      <c r="B253" s="9" t="str">
        <v>stl</v>
      </c>
      <c r="C253" s="9" t="str">
        <v>single</v>
      </c>
      <c r="D253" s="9" t="str">
        <v>wg21-n4950</v>
      </c>
      <c r="E253" s="9" t="str">
        <v>random.access.iterators</v>
      </c>
      <c r="F253" s="9" t="str">
        <v>cpp23</v>
      </c>
      <c r="G253" s="9" t="str">
        <v>随机访问迭代器支持常数时间跳转</v>
      </c>
      <c r="H253" s="9" t="str">
        <v>sources_cpp_linux</v>
      </c>
      <c r="I253" s="9" t="str">
        <v>sources_core_cs</v>
      </c>
      <c r="J253" s="9" t="str">
        <v>通过</v>
      </c>
      <c r="K253" s="9" t="str">
        <v>通过</v>
      </c>
      <c r="L253" s="9" t="str">
        <v>通过</v>
      </c>
      <c r="M253" s="10" t="str">
        <v>通过</v>
      </c>
    </row>
    <row r="254">
      <c r="A254" s="9" t="str">
        <v>WEB-20260717-STL-003</v>
      </c>
      <c r="B254" s="9" t="str">
        <v>stl</v>
      </c>
      <c r="C254" s="9" t="str">
        <v>single</v>
      </c>
      <c r="D254" s="9" t="str">
        <v>wg21-n4950</v>
      </c>
      <c r="E254" s="9" t="str">
        <v>reverse.iterators</v>
      </c>
      <c r="F254" s="9" t="str">
        <v>cpp23</v>
      </c>
      <c r="G254" s="9" t="str">
        <v>反向迭代器的 base 指向其所代表元素的后继位置</v>
      </c>
      <c r="H254" s="9" t="str">
        <v>sources_cpp_linux</v>
      </c>
      <c r="I254" s="9" t="str">
        <v>sources_core_cs</v>
      </c>
      <c r="J254" s="9" t="str">
        <v>通过</v>
      </c>
      <c r="K254" s="9" t="str">
        <v>通过</v>
      </c>
      <c r="L254" s="9" t="str">
        <v>通过</v>
      </c>
      <c r="M254" s="10" t="str">
        <v>通过</v>
      </c>
    </row>
    <row r="255">
      <c r="A255" s="9" t="str">
        <v>WEB-20260717-STL-004</v>
      </c>
      <c r="B255" s="9" t="str">
        <v>stl</v>
      </c>
      <c r="C255" s="9" t="str">
        <v>single</v>
      </c>
      <c r="D255" s="9" t="str">
        <v>eel-ranges</v>
      </c>
      <c r="E255" s="9" t="str">
        <v>range.view</v>
      </c>
      <c r="F255" s="9" t="str">
        <v>cpp23</v>
      </c>
      <c r="G255" s="9" t="str">
        <v>view 通常非拥有并在迭代时延迟产生结果</v>
      </c>
      <c r="H255" s="9" t="str">
        <v>sources_cpp_linux</v>
      </c>
      <c r="I255" s="9" t="str">
        <v>sources_core_cs</v>
      </c>
      <c r="J255" s="9" t="str">
        <v>通过</v>
      </c>
      <c r="K255" s="9" t="str">
        <v>通过</v>
      </c>
      <c r="L255" s="9" t="str">
        <v>通过</v>
      </c>
      <c r="M255" s="10" t="str">
        <v>通过</v>
      </c>
    </row>
    <row r="256">
      <c r="A256" s="9" t="str">
        <v>WEB-20260717-STL-005</v>
      </c>
      <c r="B256" s="9" t="str">
        <v>stl</v>
      </c>
      <c r="C256" s="9" t="str">
        <v>single</v>
      </c>
      <c r="D256" s="9" t="str">
        <v>eel-ranges</v>
      </c>
      <c r="E256" s="9" t="str">
        <v>range.dangling</v>
      </c>
      <c r="F256" s="9" t="str">
        <v>cpp23</v>
      </c>
      <c r="G256" s="9" t="str">
        <v>dangling 类型显式表示无法安全返回临时范围迭代器</v>
      </c>
      <c r="H256" s="9" t="str">
        <v>sources_cpp_linux</v>
      </c>
      <c r="I256" s="9" t="str">
        <v>sources_core_cs</v>
      </c>
      <c r="J256" s="9" t="str">
        <v>通过</v>
      </c>
      <c r="K256" s="9" t="str">
        <v>通过</v>
      </c>
      <c r="L256" s="9" t="str">
        <v>通过</v>
      </c>
      <c r="M256" s="10" t="str">
        <v>通过</v>
      </c>
    </row>
    <row r="257">
      <c r="A257" s="9" t="str">
        <v>WEB-20260717-STL-006</v>
      </c>
      <c r="B257" s="9" t="str">
        <v>stl</v>
      </c>
      <c r="C257" s="9" t="str">
        <v>single</v>
      </c>
      <c r="D257" s="9" t="str">
        <v>eel-algorithms</v>
      </c>
      <c r="E257" s="9" t="str">
        <v>algorithms.parallel.overloads|ranges</v>
      </c>
      <c r="F257" s="9" t="str">
        <v>cpp23</v>
      </c>
      <c r="G257" s="9" t="str">
        <v>投影允许比较器作用于元素经成员或函数映射后的值</v>
      </c>
      <c r="H257" s="9" t="str">
        <v>sources_cpp_linux</v>
      </c>
      <c r="I257" s="9" t="str">
        <v>sources_core_cs</v>
      </c>
      <c r="J257" s="9" t="str">
        <v>通过</v>
      </c>
      <c r="K257" s="9" t="str">
        <v>通过</v>
      </c>
      <c r="L257" s="9" t="str">
        <v>通过</v>
      </c>
      <c r="M257" s="10" t="str">
        <v>通过</v>
      </c>
    </row>
    <row r="258">
      <c r="A258" s="9" t="str">
        <v>WEB-20260717-STL-007</v>
      </c>
      <c r="B258" s="9" t="str">
        <v>stl</v>
      </c>
      <c r="C258" s="9" t="str">
        <v>single</v>
      </c>
      <c r="D258" s="9" t="str">
        <v>wg21-n4950</v>
      </c>
      <c r="E258" s="9" t="str">
        <v>vector.capacity</v>
      </c>
      <c r="F258" s="9" t="str">
        <v>cpp23</v>
      </c>
      <c r="G258" s="9" t="str">
        <v>reserve 预留容量但不创建新元素</v>
      </c>
      <c r="H258" s="9" t="str">
        <v>sources_cpp_linux</v>
      </c>
      <c r="I258" s="9" t="str">
        <v>sources_core_cs</v>
      </c>
      <c r="J258" s="9" t="str">
        <v>通过</v>
      </c>
      <c r="K258" s="9" t="str">
        <v>通过</v>
      </c>
      <c r="L258" s="9" t="str">
        <v>通过</v>
      </c>
      <c r="M258" s="10" t="str">
        <v>通过</v>
      </c>
    </row>
    <row r="259">
      <c r="A259" s="9" t="str">
        <v>WEB-20260717-STL-008</v>
      </c>
      <c r="B259" s="9" t="str">
        <v>stl</v>
      </c>
      <c r="C259" s="9" t="str">
        <v>single</v>
      </c>
      <c r="D259" s="9" t="str">
        <v>wg21-n4950</v>
      </c>
      <c r="E259" s="9" t="str">
        <v>vector.capacity</v>
      </c>
      <c r="F259" s="9" t="str">
        <v>cpp23</v>
      </c>
      <c r="G259" s="9" t="str">
        <v>resize 扩大时会创建新元素并改变 size</v>
      </c>
      <c r="H259" s="9" t="str">
        <v>sources_cpp_linux</v>
      </c>
      <c r="I259" s="9" t="str">
        <v>sources_core_cs</v>
      </c>
      <c r="J259" s="9" t="str">
        <v>通过</v>
      </c>
      <c r="K259" s="9" t="str">
        <v>通过</v>
      </c>
      <c r="L259" s="9" t="str">
        <v>通过</v>
      </c>
      <c r="M259" s="10" t="str">
        <v>通过</v>
      </c>
    </row>
    <row r="260">
      <c r="A260" s="9" t="str">
        <v>WEB-20260717-STL-009</v>
      </c>
      <c r="B260" s="9" t="str">
        <v>stl</v>
      </c>
      <c r="C260" s="9" t="str">
        <v>single</v>
      </c>
      <c r="D260" s="9" t="str">
        <v>wg21-n4950</v>
      </c>
      <c r="E260" s="9" t="str">
        <v>vector.modifiers</v>
      </c>
      <c r="F260" s="9" t="str">
        <v>cpp23</v>
      </c>
      <c r="G260" s="9" t="str">
        <v>重新分配会搬迁元素并使指向旧存储的句柄失效</v>
      </c>
      <c r="H260" s="9" t="str">
        <v>sources_cpp_linux</v>
      </c>
      <c r="I260" s="9" t="str">
        <v>sources_core_cs</v>
      </c>
      <c r="J260" s="9" t="str">
        <v>通过</v>
      </c>
      <c r="K260" s="9" t="str">
        <v>通过</v>
      </c>
      <c r="L260" s="9" t="str">
        <v>通过</v>
      </c>
      <c r="M260" s="10" t="str">
        <v>通过</v>
      </c>
    </row>
    <row r="261">
      <c r="A261" s="9" t="str">
        <v>WEB-20260717-STL-010</v>
      </c>
      <c r="B261" s="9" t="str">
        <v>stl</v>
      </c>
      <c r="C261" s="9" t="str">
        <v>single</v>
      </c>
      <c r="D261" s="9" t="str">
        <v>wg21-n4950</v>
      </c>
      <c r="E261" s="9" t="str">
        <v>list.ops</v>
      </c>
      <c r="F261" s="9" t="str">
        <v>cpp23</v>
      </c>
      <c r="G261" s="9" t="str">
        <v>splice 通过节点重连转移元素并保留其对象身份</v>
      </c>
      <c r="H261" s="9" t="str">
        <v>sources_cpp_linux</v>
      </c>
      <c r="I261" s="9" t="str">
        <v>sources_core_cs</v>
      </c>
      <c r="J261" s="9" t="str">
        <v>通过</v>
      </c>
      <c r="K261" s="9" t="str">
        <v>通过</v>
      </c>
      <c r="L261" s="9" t="str">
        <v>通过</v>
      </c>
      <c r="M261" s="10" t="str">
        <v>通过</v>
      </c>
    </row>
    <row r="262">
      <c r="A262" s="9" t="str">
        <v>WEB-20260717-STL-011</v>
      </c>
      <c r="B262" s="9" t="str">
        <v>stl</v>
      </c>
      <c r="C262" s="9" t="str">
        <v>single</v>
      </c>
      <c r="D262" s="9" t="str">
        <v>wg21-n4950</v>
      </c>
      <c r="E262" s="9" t="str">
        <v>forwardlist.overview</v>
      </c>
      <c r="F262" s="9" t="str">
        <v>cpp23</v>
      </c>
      <c r="G262" s="9" t="str">
        <v>forward_list 的接口设计不提供常规 size 成员</v>
      </c>
      <c r="H262" s="9" t="str">
        <v>sources_cpp_linux</v>
      </c>
      <c r="I262" s="9" t="str">
        <v>sources_core_cs</v>
      </c>
      <c r="J262" s="9" t="str">
        <v>通过</v>
      </c>
      <c r="K262" s="9" t="str">
        <v>通过</v>
      </c>
      <c r="L262" s="9" t="str">
        <v>通过</v>
      </c>
      <c r="M262" s="10" t="str">
        <v>通过</v>
      </c>
    </row>
    <row r="263">
      <c r="A263" s="9" t="str">
        <v>WEB-20260717-STL-012</v>
      </c>
      <c r="B263" s="9" t="str">
        <v>stl</v>
      </c>
      <c r="C263" s="9" t="str">
        <v>single</v>
      </c>
      <c r="D263" s="9" t="str">
        <v>wg21-n4950</v>
      </c>
      <c r="E263" s="9" t="str">
        <v>basic.string</v>
      </c>
      <c r="F263" s="9" t="str">
        <v>cpp23</v>
      </c>
      <c r="G263" s="9" t="str">
        <v>basic_string 元素连续存储并可用于连续字符访问</v>
      </c>
      <c r="H263" s="9" t="str">
        <v>sources_cpp_linux</v>
      </c>
      <c r="I263" s="9" t="str">
        <v>sources_core_cs</v>
      </c>
      <c r="J263" s="9" t="str">
        <v>通过</v>
      </c>
      <c r="K263" s="9" t="str">
        <v>通过</v>
      </c>
      <c r="L263" s="9" t="str">
        <v>通过</v>
      </c>
      <c r="M263" s="10" t="str">
        <v>通过</v>
      </c>
    </row>
    <row r="264">
      <c r="A264" s="9" t="str">
        <v>WEB-20260717-STL-013</v>
      </c>
      <c r="B264" s="9" t="str">
        <v>stl</v>
      </c>
      <c r="C264" s="9" t="str">
        <v>single</v>
      </c>
      <c r="D264" s="9" t="str">
        <v>wg21-n4950</v>
      </c>
      <c r="E264" s="9" t="str">
        <v>vector.bool</v>
      </c>
      <c r="F264" s="9" t="str">
        <v>cpp23</v>
      </c>
      <c r="G264" s="9" t="str">
        <v>vector&lt;bool&gt; 可按位压缩并使用代理引用而非真实 bool 引用</v>
      </c>
      <c r="H264" s="9" t="str">
        <v>sources_cpp_linux</v>
      </c>
      <c r="I264" s="9" t="str">
        <v>sources_core_cs</v>
      </c>
      <c r="J264" s="9" t="str">
        <v>通过</v>
      </c>
      <c r="K264" s="9" t="str">
        <v>通过</v>
      </c>
      <c r="L264" s="9" t="str">
        <v>通过</v>
      </c>
      <c r="M264" s="10" t="str">
        <v>通过</v>
      </c>
    </row>
    <row r="265">
      <c r="A265" s="9" t="str">
        <v>WEB-20260717-STL-014</v>
      </c>
      <c r="B265" s="9" t="str">
        <v>stl</v>
      </c>
      <c r="C265" s="9" t="str">
        <v>single</v>
      </c>
      <c r="D265" s="9" t="str">
        <v>wg21-n4950</v>
      </c>
      <c r="E265" s="9" t="str">
        <v>map.access</v>
      </c>
      <c r="F265" s="9" t="str">
        <v>cpp23</v>
      </c>
      <c r="G265" s="9" t="str">
        <v>map下标访问缺失键会插入并值初始化映射值</v>
      </c>
      <c r="H265" s="9" t="str">
        <v>sources_cpp_linux</v>
      </c>
      <c r="I265" s="9" t="str">
        <v>sources_core_cs</v>
      </c>
      <c r="J265" s="9" t="str">
        <v>通过</v>
      </c>
      <c r="K265" s="9" t="str">
        <v>通过</v>
      </c>
      <c r="L265" s="9" t="str">
        <v>通过</v>
      </c>
      <c r="M265" s="10" t="str">
        <v>通过</v>
      </c>
    </row>
    <row r="266">
      <c r="A266" s="9" t="str">
        <v>WEB-20260717-STL-015</v>
      </c>
      <c r="B266" s="9" t="str">
        <v>stl</v>
      </c>
      <c r="C266" s="9" t="str">
        <v>single</v>
      </c>
      <c r="D266" s="9" t="str">
        <v>wg21-n4950</v>
      </c>
      <c r="E266" s="9" t="str">
        <v>map.access</v>
      </c>
      <c r="F266" s="9" t="str">
        <v>cpp23</v>
      </c>
      <c r="G266" s="9" t="str">
        <v>map::at 不插入缺失键而抛出 out_of_range</v>
      </c>
      <c r="H266" s="9" t="str">
        <v>sources_cpp_linux</v>
      </c>
      <c r="I266" s="9" t="str">
        <v>sources_core_cs</v>
      </c>
      <c r="J266" s="9" t="str">
        <v>通过</v>
      </c>
      <c r="K266" s="9" t="str">
        <v>通过</v>
      </c>
      <c r="L266" s="9" t="str">
        <v>通过</v>
      </c>
      <c r="M266" s="10" t="str">
        <v>通过</v>
      </c>
    </row>
    <row r="267">
      <c r="A267" s="9" t="str">
        <v>WEB-20260717-STL-016</v>
      </c>
      <c r="B267" s="9" t="str">
        <v>stl</v>
      </c>
      <c r="C267" s="9" t="str">
        <v>single</v>
      </c>
      <c r="D267" s="9" t="str">
        <v>wg21-n4950</v>
      </c>
      <c r="E267" s="9" t="str">
        <v>associative.reqmts</v>
      </c>
      <c r="F267" s="9" t="str">
        <v>cpp23</v>
      </c>
      <c r="G267" s="9" t="str">
        <v>关联容器键通过迭代器表现为不可修改以维护次序</v>
      </c>
      <c r="H267" s="9" t="str">
        <v>sources_cpp_linux</v>
      </c>
      <c r="I267" s="9" t="str">
        <v>sources_core_cs</v>
      </c>
      <c r="J267" s="9" t="str">
        <v>通过</v>
      </c>
      <c r="K267" s="9" t="str">
        <v>通过</v>
      </c>
      <c r="L267" s="9" t="str">
        <v>通过</v>
      </c>
      <c r="M267" s="10" t="str">
        <v>通过</v>
      </c>
    </row>
    <row r="268">
      <c r="A268" s="9" t="str">
        <v>WEB-20260717-STL-017</v>
      </c>
      <c r="B268" s="9" t="str">
        <v>stl</v>
      </c>
      <c r="C268" s="9" t="str">
        <v>single</v>
      </c>
      <c r="D268" s="9" t="str">
        <v>wg21-n4950</v>
      </c>
      <c r="E268" s="9" t="str">
        <v>multiset.overview</v>
      </c>
      <c r="F268" s="9" t="str">
        <v>cpp23</v>
      </c>
      <c r="G268" s="9" t="str">
        <v>multiset 允许多个等价键而 set 保持键唯一</v>
      </c>
      <c r="H268" s="9" t="str">
        <v>sources_cpp_linux</v>
      </c>
      <c r="I268" s="9" t="str">
        <v>sources_core_cs</v>
      </c>
      <c r="J268" s="9" t="str">
        <v>通过</v>
      </c>
      <c r="K268" s="9" t="str">
        <v>通过</v>
      </c>
      <c r="L268" s="9" t="str">
        <v>通过</v>
      </c>
      <c r="M268" s="10" t="str">
        <v>通过</v>
      </c>
    </row>
    <row r="269">
      <c r="A269" s="9" t="str">
        <v>WEB-20260717-STL-018</v>
      </c>
      <c r="B269" s="9" t="str">
        <v>stl</v>
      </c>
      <c r="C269" s="9" t="str">
        <v>single</v>
      </c>
      <c r="D269" s="9" t="str">
        <v>wg21-n4950</v>
      </c>
      <c r="E269" s="9" t="str">
        <v>unord.req</v>
      </c>
      <c r="F269" s="9" t="str">
        <v>cpp23</v>
      </c>
      <c r="G269" s="9" t="str">
        <v>rehash 重组桶并使迭代器失效但不搬毁元素对象</v>
      </c>
      <c r="H269" s="9" t="str">
        <v>sources_cpp_linux</v>
      </c>
      <c r="I269" s="9" t="str">
        <v>sources_core_cs</v>
      </c>
      <c r="J269" s="9" t="str">
        <v>通过</v>
      </c>
      <c r="K269" s="9" t="str">
        <v>通过</v>
      </c>
      <c r="L269" s="9" t="str">
        <v>通过</v>
      </c>
      <c r="M269" s="10" t="str">
        <v>通过</v>
      </c>
    </row>
    <row r="270">
      <c r="A270" s="9" t="str">
        <v>WEB-20260717-STL-019</v>
      </c>
      <c r="B270" s="9" t="str">
        <v>stl</v>
      </c>
      <c r="C270" s="9" t="str">
        <v>single</v>
      </c>
      <c r="D270" s="9" t="str">
        <v>wg21-n4950</v>
      </c>
      <c r="E270" s="9" t="str">
        <v>unord.req</v>
      </c>
      <c r="F270" s="9" t="str">
        <v>cpp23</v>
      </c>
      <c r="G270" s="9" t="str">
        <v>无序容器不提供可依赖的排序或插入顺序</v>
      </c>
      <c r="H270" s="9" t="str">
        <v>sources_cpp_linux</v>
      </c>
      <c r="I270" s="9" t="str">
        <v>sources_core_cs</v>
      </c>
      <c r="J270" s="9" t="str">
        <v>通过</v>
      </c>
      <c r="K270" s="9" t="str">
        <v>通过</v>
      </c>
      <c r="L270" s="9" t="str">
        <v>通过</v>
      </c>
      <c r="M270" s="10" t="str">
        <v>通过</v>
      </c>
    </row>
    <row r="271">
      <c r="A271" s="9" t="str">
        <v>WEB-20260717-STL-020</v>
      </c>
      <c r="B271" s="9" t="str">
        <v>stl</v>
      </c>
      <c r="C271" s="9" t="str">
        <v>single</v>
      </c>
      <c r="D271" s="9" t="str">
        <v>wg21-n4950</v>
      </c>
      <c r="E271" s="9" t="str">
        <v>associative.reqmts</v>
      </c>
      <c r="F271" s="9" t="str">
        <v>cpp23</v>
      </c>
      <c r="G271" s="9" t="str">
        <v>比较器必须建立严格弱序以维持关联容器结构</v>
      </c>
      <c r="H271" s="9" t="str">
        <v>sources_cpp_linux</v>
      </c>
      <c r="I271" s="9" t="str">
        <v>sources_core_cs</v>
      </c>
      <c r="J271" s="9" t="str">
        <v>通过</v>
      </c>
      <c r="K271" s="9" t="str">
        <v>通过</v>
      </c>
      <c r="L271" s="9" t="str">
        <v>通过</v>
      </c>
      <c r="M271" s="10" t="str">
        <v>通过</v>
      </c>
    </row>
    <row r="272">
      <c r="A272" s="9" t="str">
        <v>WEB-20260717-STL-021</v>
      </c>
      <c r="B272" s="9" t="str">
        <v>stl</v>
      </c>
      <c r="C272" s="9" t="str">
        <v>single</v>
      </c>
      <c r="D272" s="9" t="str">
        <v>eel-algorithms</v>
      </c>
      <c r="E272" s="9" t="str">
        <v>alg.remove</v>
      </c>
      <c r="F272" s="9" t="str">
        <v>cpp23</v>
      </c>
      <c r="G272" s="9" t="str">
        <v>remove 只重排并返回新逻辑尾端，不执行容器 erase</v>
      </c>
      <c r="H272" s="9" t="str">
        <v>sources_cpp_linux</v>
      </c>
      <c r="I272" s="9" t="str">
        <v>sources_core_cs</v>
      </c>
      <c r="J272" s="9" t="str">
        <v>通过</v>
      </c>
      <c r="K272" s="9" t="str">
        <v>通过</v>
      </c>
      <c r="L272" s="9" t="str">
        <v>通过</v>
      </c>
      <c r="M272" s="10" t="str">
        <v>通过</v>
      </c>
    </row>
    <row r="273">
      <c r="A273" s="9" t="str">
        <v>WEB-20260717-STL-022</v>
      </c>
      <c r="B273" s="9" t="str">
        <v>stl</v>
      </c>
      <c r="C273" s="9" t="str">
        <v>single</v>
      </c>
      <c r="D273" s="9" t="str">
        <v>wg21-n4950</v>
      </c>
      <c r="E273" s="9" t="str">
        <v>sort</v>
      </c>
      <c r="F273" s="9" t="str">
        <v>cpp23</v>
      </c>
      <c r="G273" s="9" t="str">
        <v>sort 要求随机访问迭代器而不要求必须连续</v>
      </c>
      <c r="H273" s="9" t="str">
        <v>sources_cpp_linux</v>
      </c>
      <c r="I273" s="9" t="str">
        <v>sources_core_cs</v>
      </c>
      <c r="J273" s="9" t="str">
        <v>通过</v>
      </c>
      <c r="K273" s="9" t="str">
        <v>通过</v>
      </c>
      <c r="L273" s="9" t="str">
        <v>通过</v>
      </c>
      <c r="M273" s="10" t="str">
        <v>通过</v>
      </c>
    </row>
    <row r="274">
      <c r="A274" s="9" t="str">
        <v>WEB-20260717-STL-023</v>
      </c>
      <c r="B274" s="9" t="str">
        <v>stl</v>
      </c>
      <c r="C274" s="9" t="str">
        <v>single</v>
      </c>
      <c r="D274" s="9" t="str">
        <v>eel-algorithms</v>
      </c>
      <c r="E274" s="9" t="str">
        <v>stable.sort</v>
      </c>
      <c r="F274" s="9" t="str">
        <v>cpp23</v>
      </c>
      <c r="G274" s="9" t="str">
        <v>稳定排序保持比较等价元素的原有相对顺序</v>
      </c>
      <c r="H274" s="9" t="str">
        <v>sources_cpp_linux</v>
      </c>
      <c r="I274" s="9" t="str">
        <v>sources_core_cs</v>
      </c>
      <c r="J274" s="9" t="str">
        <v>通过</v>
      </c>
      <c r="K274" s="9" t="str">
        <v>通过</v>
      </c>
      <c r="L274" s="9" t="str">
        <v>通过</v>
      </c>
      <c r="M274" s="10" t="str">
        <v>通过</v>
      </c>
    </row>
    <row r="275">
      <c r="A275" s="9" t="str">
        <v>WEB-20260717-STL-024</v>
      </c>
      <c r="B275" s="9" t="str">
        <v>stl</v>
      </c>
      <c r="C275" s="9" t="str">
        <v>single</v>
      </c>
      <c r="D275" s="9" t="str">
        <v>wg21-n4950</v>
      </c>
      <c r="E275" s="9" t="str">
        <v>lower.bound</v>
      </c>
      <c r="F275" s="9" t="str">
        <v>cpp23</v>
      </c>
      <c r="G275" s="9" t="str">
        <v>lower_bound 依赖范围按目标比较条件形成正确分区</v>
      </c>
      <c r="H275" s="9" t="str">
        <v>sources_cpp_linux</v>
      </c>
      <c r="I275" s="9" t="str">
        <v>sources_core_cs</v>
      </c>
      <c r="J275" s="9" t="str">
        <v>通过</v>
      </c>
      <c r="K275" s="9" t="str">
        <v>通过</v>
      </c>
      <c r="L275" s="9" t="str">
        <v>通过</v>
      </c>
      <c r="M275" s="10" t="str">
        <v>通过</v>
      </c>
    </row>
    <row r="276">
      <c r="A276" s="9" t="str">
        <v>WEB-20260717-STL-025</v>
      </c>
      <c r="B276" s="9" t="str">
        <v>stl</v>
      </c>
      <c r="C276" s="9" t="str">
        <v>single</v>
      </c>
      <c r="D276" s="9" t="str">
        <v>eel-algorithms</v>
      </c>
      <c r="E276" s="9" t="str">
        <v>alg.nth.element</v>
      </c>
      <c r="F276" s="9" t="str">
        <v>cpp23</v>
      </c>
      <c r="G276" s="9" t="str">
        <v>nth_element 定位第n元素并分区而不保证两侧内部有序</v>
      </c>
      <c r="H276" s="9" t="str">
        <v>sources_cpp_linux</v>
      </c>
      <c r="I276" s="9" t="str">
        <v>sources_core_cs</v>
      </c>
      <c r="J276" s="9" t="str">
        <v>通过</v>
      </c>
      <c r="K276" s="9" t="str">
        <v>通过</v>
      </c>
      <c r="L276" s="9" t="str">
        <v>通过</v>
      </c>
      <c r="M276" s="10" t="str">
        <v>通过</v>
      </c>
    </row>
    <row r="277">
      <c r="A277" s="9" t="str">
        <v>WEB-20260717-STL-026</v>
      </c>
      <c r="B277" s="9" t="str">
        <v>stl</v>
      </c>
      <c r="C277" s="9" t="str">
        <v>single</v>
      </c>
      <c r="D277" s="9" t="str">
        <v>wg21-n4950</v>
      </c>
      <c r="E277" s="9" t="str">
        <v>accumulate</v>
      </c>
      <c r="F277" s="9" t="str">
        <v>cpp23</v>
      </c>
      <c r="G277" s="9" t="str">
        <v>accumulate 依次从范围起点向终点更新累积值</v>
      </c>
      <c r="H277" s="9" t="str">
        <v>sources_cpp_linux</v>
      </c>
      <c r="I277" s="9" t="str">
        <v>sources_core_cs</v>
      </c>
      <c r="J277" s="9" t="str">
        <v>通过</v>
      </c>
      <c r="K277" s="9" t="str">
        <v>通过</v>
      </c>
      <c r="L277" s="9" t="str">
        <v>通过</v>
      </c>
      <c r="M277" s="10" t="str">
        <v>通过</v>
      </c>
    </row>
    <row r="278">
      <c r="A278" s="9" t="str">
        <v>WEB-20260717-STL-027</v>
      </c>
      <c r="B278" s="9" t="str">
        <v>stl</v>
      </c>
      <c r="C278" s="9" t="str">
        <v>single</v>
      </c>
      <c r="D278" s="9" t="str">
        <v>wg21-n4950</v>
      </c>
      <c r="E278" s="9" t="str">
        <v>priqueue.overview</v>
      </c>
      <c r="F278" s="9" t="str">
        <v>cpp23</v>
      </c>
      <c r="G278" s="9" t="str">
        <v>默认 less 比较使 priority_queue 顶部为最大元素</v>
      </c>
      <c r="H278" s="9" t="str">
        <v>sources_cpp_linux</v>
      </c>
      <c r="I278" s="9" t="str">
        <v>sources_core_cs</v>
      </c>
      <c r="J278" s="9" t="str">
        <v>通过</v>
      </c>
      <c r="K278" s="9" t="str">
        <v>通过</v>
      </c>
      <c r="L278" s="9" t="str">
        <v>通过</v>
      </c>
      <c r="M278" s="10" t="str">
        <v>通过</v>
      </c>
    </row>
    <row r="279">
      <c r="A279" s="9" t="str">
        <v>WEB-20260717-STL-028</v>
      </c>
      <c r="B279" s="9" t="str">
        <v>stl</v>
      </c>
      <c r="C279" s="9" t="str">
        <v>single</v>
      </c>
      <c r="D279" s="9" t="str">
        <v>wg21-n4950</v>
      </c>
      <c r="E279" s="9" t="str">
        <v>stack.defn</v>
      </c>
      <c r="F279" s="9" t="str">
        <v>cpp23</v>
      </c>
      <c r="G279" s="9" t="str">
        <v>stack 接口使用 top 访问栈顶、使用 pop 移除栈顶，两个操作彼此分离</v>
      </c>
      <c r="H279" s="9" t="str">
        <v>sources_cpp_linux</v>
      </c>
      <c r="I279" s="9" t="str">
        <v>sources_core_cs</v>
      </c>
      <c r="J279" s="9" t="str">
        <v>通过</v>
      </c>
      <c r="K279" s="9" t="str">
        <v>通过</v>
      </c>
      <c r="L279" s="9" t="str">
        <v>通过</v>
      </c>
      <c r="M279" s="10" t="str">
        <v>通过</v>
      </c>
    </row>
    <row r="280">
      <c r="A280" s="9" t="str">
        <v>WEB-20260717-STL-029</v>
      </c>
      <c r="B280" s="9" t="str">
        <v>stl</v>
      </c>
      <c r="C280" s="9" t="str">
        <v>single</v>
      </c>
      <c r="D280" s="9" t="str">
        <v>wg21-n4950</v>
      </c>
      <c r="E280" s="9" t="str">
        <v>queue.defn</v>
      </c>
      <c r="F280" s="9" t="str">
        <v>cpp23</v>
      </c>
      <c r="G280" s="9" t="str">
        <v>queue 只暴露队列操作并隐藏底层容器的遍历接口</v>
      </c>
      <c r="H280" s="9" t="str">
        <v>sources_cpp_linux</v>
      </c>
      <c r="I280" s="9" t="str">
        <v>sources_core_cs</v>
      </c>
      <c r="J280" s="9" t="str">
        <v>通过</v>
      </c>
      <c r="K280" s="9" t="str">
        <v>通过</v>
      </c>
      <c r="L280" s="9" t="str">
        <v>通过</v>
      </c>
      <c r="M280" s="10" t="str">
        <v>通过</v>
      </c>
    </row>
    <row r="281">
      <c r="A281" s="9" t="str">
        <v>WEB-20260717-STL-030</v>
      </c>
      <c r="B281" s="9" t="str">
        <v>stl</v>
      </c>
      <c r="C281" s="9" t="str">
        <v>single</v>
      </c>
      <c r="D281" s="9" t="str">
        <v>wg21-n4950</v>
      </c>
      <c r="E281" s="9" t="str">
        <v>expr.prim.lambda</v>
      </c>
      <c r="F281" s="9" t="str">
        <v>cpp23</v>
      </c>
      <c r="G281" s="9" t="str">
        <v>mutable 允许非const调用运算符修改值捕获副本</v>
      </c>
      <c r="H281" s="9" t="str">
        <v>sources_cpp_linux</v>
      </c>
      <c r="I281" s="9" t="str">
        <v>sources_core_cs</v>
      </c>
      <c r="J281" s="9" t="str">
        <v>通过</v>
      </c>
      <c r="K281" s="9" t="str">
        <v>通过</v>
      </c>
      <c r="L281" s="9" t="str">
        <v>通过</v>
      </c>
      <c r="M281" s="10" t="str">
        <v>通过</v>
      </c>
    </row>
    <row r="282">
      <c r="A282" s="9" t="str">
        <v>WEB-20260717-STL-031</v>
      </c>
      <c r="B282" s="9" t="str">
        <v>stl</v>
      </c>
      <c r="C282" s="9" t="str">
        <v>multiple</v>
      </c>
      <c r="D282" s="9" t="str">
        <v>eel-iterators</v>
      </c>
      <c r="E282" s="9" t="str">
        <v>iterator.requirements</v>
      </c>
      <c r="F282" s="9" t="str">
        <v>cpp23</v>
      </c>
      <c r="G282" s="9" t="str">
        <v>尾后迭代器可比较和界定范围，但不表示可访问元素</v>
      </c>
      <c r="H282" s="9" t="str">
        <v>sources_cpp_linux</v>
      </c>
      <c r="I282" s="9" t="str">
        <v>sources_core_cs</v>
      </c>
      <c r="J282" s="9" t="str">
        <v>通过</v>
      </c>
      <c r="K282" s="9" t="str">
        <v>通过</v>
      </c>
      <c r="L282" s="9" t="str">
        <v>通过</v>
      </c>
      <c r="M282" s="10" t="str">
        <v>通过</v>
      </c>
    </row>
    <row r="283">
      <c r="A283" s="9" t="str">
        <v>WEB-20260717-STL-032</v>
      </c>
      <c r="B283" s="9" t="str">
        <v>stl</v>
      </c>
      <c r="C283" s="9" t="str">
        <v>multiple</v>
      </c>
      <c r="D283" s="9" t="str">
        <v>wg21-n4950</v>
      </c>
      <c r="E283" s="9" t="str">
        <v>vector.capacity|vector.modifiers</v>
      </c>
      <c r="F283" s="9" t="str">
        <v>cpp23</v>
      </c>
      <c r="G283" s="9" t="str">
        <v>需要超过现有容量的增长操作可能重新分配</v>
      </c>
      <c r="H283" s="9" t="str">
        <v>sources_cpp_linux</v>
      </c>
      <c r="I283" s="9" t="str">
        <v>sources_core_cs</v>
      </c>
      <c r="J283" s="9" t="str">
        <v>通过</v>
      </c>
      <c r="K283" s="9" t="str">
        <v>通过</v>
      </c>
      <c r="L283" s="9" t="str">
        <v>通过</v>
      </c>
      <c r="M283" s="10" t="str">
        <v>通过</v>
      </c>
    </row>
    <row r="284">
      <c r="A284" s="9" t="str">
        <v>WEB-20260717-STL-033</v>
      </c>
      <c r="B284" s="9" t="str">
        <v>stl</v>
      </c>
      <c r="C284" s="9" t="str">
        <v>multiple</v>
      </c>
      <c r="D284" s="9" t="str">
        <v>wg21-n4950</v>
      </c>
      <c r="E284" s="9" t="str">
        <v>list.ops</v>
      </c>
      <c r="F284" s="9" t="str">
        <v>cpp23</v>
      </c>
      <c r="G284" s="9" t="str">
        <v>splice 通过节点操作转移元素并受分配器兼容等前提约束</v>
      </c>
      <c r="H284" s="9" t="str">
        <v>sources_cpp_linux</v>
      </c>
      <c r="I284" s="9" t="str">
        <v>sources_core_cs</v>
      </c>
      <c r="J284" s="9" t="str">
        <v>通过</v>
      </c>
      <c r="K284" s="9" t="str">
        <v>通过</v>
      </c>
      <c r="L284" s="9" t="str">
        <v>通过</v>
      </c>
      <c r="M284" s="10" t="str">
        <v>通过</v>
      </c>
    </row>
    <row r="285">
      <c r="A285" s="9" t="str">
        <v>WEB-20260717-STL-034</v>
      </c>
      <c r="B285" s="9" t="str">
        <v>stl</v>
      </c>
      <c r="C285" s="9" t="str">
        <v>multiple</v>
      </c>
      <c r="D285" s="9" t="str">
        <v>wg21-n4950</v>
      </c>
      <c r="E285" s="9" t="str">
        <v>associative.reqmts|unord.req</v>
      </c>
      <c r="F285" s="9" t="str">
        <v>cpp23</v>
      </c>
      <c r="G285" s="9" t="str">
        <v>multi 关联容器允许等价键重复，普通 set 和 map 保持唯一</v>
      </c>
      <c r="H285" s="9" t="str">
        <v>sources_cpp_linux</v>
      </c>
      <c r="I285" s="9" t="str">
        <v>sources_core_cs</v>
      </c>
      <c r="J285" s="9" t="str">
        <v>通过</v>
      </c>
      <c r="K285" s="9" t="str">
        <v>通过</v>
      </c>
      <c r="L285" s="9" t="str">
        <v>通过</v>
      </c>
      <c r="M285" s="10" t="str">
        <v>通过</v>
      </c>
    </row>
    <row r="286">
      <c r="A286" s="9" t="str">
        <v>WEB-20260717-STL-035</v>
      </c>
      <c r="B286" s="9" t="str">
        <v>stl</v>
      </c>
      <c r="C286" s="9" t="str">
        <v>multiple</v>
      </c>
      <c r="D286" s="9" t="str">
        <v>wg21-n4950</v>
      </c>
      <c r="E286" s="9" t="str">
        <v>unord.req</v>
      </c>
      <c r="F286" s="9" t="str">
        <v>cpp23</v>
      </c>
      <c r="G286" s="9" t="str">
        <v>无序容器依赖哈希与等价关系，不能依赖迭代顺序</v>
      </c>
      <c r="H286" s="9" t="str">
        <v>sources_cpp_linux</v>
      </c>
      <c r="I286" s="9" t="str">
        <v>sources_core_cs</v>
      </c>
      <c r="J286" s="9" t="str">
        <v>通过</v>
      </c>
      <c r="K286" s="9" t="str">
        <v>通过</v>
      </c>
      <c r="L286" s="9" t="str">
        <v>通过</v>
      </c>
      <c r="M286" s="10" t="str">
        <v>通过</v>
      </c>
    </row>
    <row r="287">
      <c r="A287" s="9" t="str">
        <v>WEB-20260717-STL-036</v>
      </c>
      <c r="B287" s="9" t="str">
        <v>stl</v>
      </c>
      <c r="C287" s="9" t="str">
        <v>multiple</v>
      </c>
      <c r="D287" s="9" t="str">
        <v>eel-algorithms</v>
      </c>
      <c r="E287" s="9" t="str">
        <v>alg.binary.search</v>
      </c>
      <c r="F287" s="9" t="str">
        <v>cpp23</v>
      </c>
      <c r="G287" s="9" t="str">
        <v>二分查找族依赖相应比较关系下的分区或有序性质</v>
      </c>
      <c r="H287" s="9" t="str">
        <v>sources_cpp_linux</v>
      </c>
      <c r="I287" s="9" t="str">
        <v>sources_core_cs</v>
      </c>
      <c r="J287" s="9" t="str">
        <v>通过</v>
      </c>
      <c r="K287" s="9" t="str">
        <v>通过</v>
      </c>
      <c r="L287" s="9" t="str">
        <v>通过</v>
      </c>
      <c r="M287" s="10" t="str">
        <v>通过</v>
      </c>
    </row>
    <row r="288">
      <c r="A288" s="9" t="str">
        <v>WEB-20260717-STL-037</v>
      </c>
      <c r="B288" s="9" t="str">
        <v>stl</v>
      </c>
      <c r="C288" s="9" t="str">
        <v>multiple</v>
      </c>
      <c r="D288" s="9" t="str">
        <v>wg21-n4950</v>
      </c>
      <c r="E288" s="9" t="str">
        <v>algorithms.requirements</v>
      </c>
      <c r="F288" s="9" t="str">
        <v>cpp23</v>
      </c>
      <c r="G288" s="9" t="str">
        <v>复杂度需按标准计数模型解释，单次基准不能替代证明</v>
      </c>
      <c r="H288" s="9" t="str">
        <v>sources_cpp_linux</v>
      </c>
      <c r="I288" s="9" t="str">
        <v>sources_core_cs</v>
      </c>
      <c r="J288" s="9" t="str">
        <v>通过</v>
      </c>
      <c r="K288" s="9" t="str">
        <v>通过</v>
      </c>
      <c r="L288" s="9" t="str">
        <v>通过</v>
      </c>
      <c r="M288" s="10" t="str">
        <v>通过</v>
      </c>
    </row>
    <row r="289">
      <c r="A289" s="9" t="str">
        <v>WEB-20260717-STL-038</v>
      </c>
      <c r="B289" s="9" t="str">
        <v>stl</v>
      </c>
      <c r="C289" s="9" t="str">
        <v>multiple</v>
      </c>
      <c r="D289" s="9" t="str">
        <v>wg21-n4950</v>
      </c>
      <c r="E289" s="9" t="str">
        <v>container.adaptors</v>
      </c>
      <c r="F289" s="9" t="str">
        <v>cpp23</v>
      </c>
      <c r="G289" s="9" t="str">
        <v>适配器按抽象结构限制接口，默认优先队列顶部为最大元素</v>
      </c>
      <c r="H289" s="9" t="str">
        <v>sources_cpp_linux</v>
      </c>
      <c r="I289" s="9" t="str">
        <v>sources_core_cs</v>
      </c>
      <c r="J289" s="9" t="str">
        <v>通过</v>
      </c>
      <c r="K289" s="9" t="str">
        <v>通过</v>
      </c>
      <c r="L289" s="9" t="str">
        <v>通过</v>
      </c>
      <c r="M289" s="10" t="str">
        <v>通过</v>
      </c>
    </row>
    <row r="290">
      <c r="A290" s="9" t="str">
        <v>WEB-20260717-STL-039</v>
      </c>
      <c r="B290" s="9" t="str">
        <v>stl</v>
      </c>
      <c r="C290" s="9" t="str">
        <v>judge</v>
      </c>
      <c r="D290" s="9" t="str">
        <v>eel-iterators</v>
      </c>
      <c r="E290" s="9" t="str">
        <v>iterator.requirements</v>
      </c>
      <c r="F290" s="9" t="str">
        <v>cpp23</v>
      </c>
      <c r="G290" s="9" t="str">
        <v>只有随机访问等更强类别保证这种跳转，输入或前向迭代器不支持</v>
      </c>
      <c r="H290" s="9" t="str">
        <v>sources_cpp_linux</v>
      </c>
      <c r="I290" s="9" t="str">
        <v>sources_core_cs</v>
      </c>
      <c r="J290" s="9" t="str">
        <v>通过</v>
      </c>
      <c r="K290" s="9" t="str">
        <v>通过</v>
      </c>
      <c r="L290" s="9" t="str">
        <v>通过</v>
      </c>
      <c r="M290" s="10" t="str">
        <v>通过</v>
      </c>
    </row>
    <row r="291">
      <c r="A291" s="9" t="str">
        <v>WEB-20260717-STL-040</v>
      </c>
      <c r="B291" s="9" t="str">
        <v>stl</v>
      </c>
      <c r="C291" s="9" t="str">
        <v>judge</v>
      </c>
      <c r="D291" s="9" t="str">
        <v>wg21-n4950</v>
      </c>
      <c r="E291" s="9" t="str">
        <v>vector.capacity</v>
      </c>
      <c r="F291" s="9" t="str">
        <v>cpp23</v>
      </c>
      <c r="G291" s="9" t="str">
        <v>reserve 只影响容量并不构造元素，所以 size 保持不变</v>
      </c>
      <c r="H291" s="9" t="str">
        <v>sources_cpp_linux</v>
      </c>
      <c r="I291" s="9" t="str">
        <v>sources_core_cs</v>
      </c>
      <c r="J291" s="9" t="str">
        <v>通过</v>
      </c>
      <c r="K291" s="9" t="str">
        <v>通过</v>
      </c>
      <c r="L291" s="9" t="str">
        <v>通过</v>
      </c>
      <c r="M291" s="10" t="str">
        <v>通过</v>
      </c>
    </row>
    <row r="292">
      <c r="A292" s="9" t="str">
        <v>WEB-20260717-STL-041</v>
      </c>
      <c r="B292" s="9" t="str">
        <v>stl</v>
      </c>
      <c r="C292" s="9" t="str">
        <v>judge</v>
      </c>
      <c r="D292" s="9" t="str">
        <v>wg21-n4950</v>
      </c>
      <c r="E292" s="9" t="str">
        <v>map.access</v>
      </c>
      <c r="F292" s="9" t="str">
        <v>cpp23</v>
      </c>
      <c r="G292" s="9" t="str">
        <v>下标运算对缺失键执行插入并值初始化映射值</v>
      </c>
      <c r="H292" s="9" t="str">
        <v>sources_cpp_linux</v>
      </c>
      <c r="I292" s="9" t="str">
        <v>sources_core_cs</v>
      </c>
      <c r="J292" s="9" t="str">
        <v>通过</v>
      </c>
      <c r="K292" s="9" t="str">
        <v>通过</v>
      </c>
      <c r="L292" s="9" t="str">
        <v>通过</v>
      </c>
      <c r="M292" s="10" t="str">
        <v>通过</v>
      </c>
    </row>
    <row r="293">
      <c r="A293" s="9" t="str">
        <v>WEB-20260717-STL-042</v>
      </c>
      <c r="B293" s="9" t="str">
        <v>stl</v>
      </c>
      <c r="C293" s="9" t="str">
        <v>judge</v>
      </c>
      <c r="D293" s="9" t="str">
        <v>eel-algorithms</v>
      </c>
      <c r="E293" s="9" t="str">
        <v>alg.remove</v>
      </c>
      <c r="F293" s="9" t="str">
        <v>cpp23</v>
      </c>
      <c r="G293" s="9" t="str">
        <v>remove 是算法重排而不是容器成员擦除，需配合 erase</v>
      </c>
      <c r="H293" s="9" t="str">
        <v>sources_cpp_linux</v>
      </c>
      <c r="I293" s="9" t="str">
        <v>sources_core_cs</v>
      </c>
      <c r="J293" s="9" t="str">
        <v>通过</v>
      </c>
      <c r="K293" s="9" t="str">
        <v>通过</v>
      </c>
      <c r="L293" s="9" t="str">
        <v>通过</v>
      </c>
      <c r="M293" s="10" t="str">
        <v>通过</v>
      </c>
    </row>
    <row r="294">
      <c r="A294" s="9" t="str">
        <v>WEB-20260717-STL-043</v>
      </c>
      <c r="B294" s="9" t="str">
        <v>stl</v>
      </c>
      <c r="C294" s="9" t="str">
        <v>judge</v>
      </c>
      <c r="D294" s="9" t="str">
        <v>eel-algorithms</v>
      </c>
      <c r="E294" s="9" t="str">
        <v>stable.sort</v>
      </c>
      <c r="F294" s="9" t="str">
        <v>cpp23</v>
      </c>
      <c r="G294" s="9" t="str">
        <v>稳定排序的核心保证就是维持等价元素的原相对顺序</v>
      </c>
      <c r="H294" s="9" t="str">
        <v>sources_cpp_linux</v>
      </c>
      <c r="I294" s="9" t="str">
        <v>sources_core_cs</v>
      </c>
      <c r="J294" s="9" t="str">
        <v>通过</v>
      </c>
      <c r="K294" s="9" t="str">
        <v>通过</v>
      </c>
      <c r="L294" s="9" t="str">
        <v>通过</v>
      </c>
      <c r="M294" s="10" t="str">
        <v>通过</v>
      </c>
    </row>
    <row r="295">
      <c r="A295" s="9" t="str">
        <v>WEB-20260717-STL-044</v>
      </c>
      <c r="B295" s="9" t="str">
        <v>stl</v>
      </c>
      <c r="C295" s="9" t="str">
        <v>fill_blank</v>
      </c>
      <c r="D295" s="9" t="str">
        <v>wg21-n4950</v>
      </c>
      <c r="E295" s="9" t="str">
        <v>iterator.requirements</v>
      </c>
      <c r="F295" s="9" t="str">
        <v>cpp23</v>
      </c>
      <c r="G295" s="9" t="str">
        <v>end 返回尾后迭代器而不是最后元素</v>
      </c>
      <c r="H295" s="9" t="str">
        <v>sources_cpp_linux</v>
      </c>
      <c r="I295" s="9" t="str">
        <v>sources_core_cs</v>
      </c>
      <c r="J295" s="9" t="str">
        <v>通过</v>
      </c>
      <c r="K295" s="9" t="str">
        <v>通过</v>
      </c>
      <c r="L295" s="9" t="str">
        <v>通过</v>
      </c>
      <c r="M295" s="10" t="str">
        <v>通过</v>
      </c>
    </row>
    <row r="296">
      <c r="A296" s="9" t="str">
        <v>WEB-20260717-STL-045</v>
      </c>
      <c r="B296" s="9" t="str">
        <v>stl</v>
      </c>
      <c r="C296" s="9" t="str">
        <v>fill_blank</v>
      </c>
      <c r="D296" s="9" t="str">
        <v>wg21-n4950</v>
      </c>
      <c r="E296" s="9" t="str">
        <v>vector.capacity</v>
      </c>
      <c r="F296" s="9" t="str">
        <v>cpp23</v>
      </c>
      <c r="G296" s="9" t="str">
        <v>reserve 改变容量策略但不改变 size</v>
      </c>
      <c r="H296" s="9" t="str">
        <v>sources_cpp_linux</v>
      </c>
      <c r="I296" s="9" t="str">
        <v>sources_core_cs</v>
      </c>
      <c r="J296" s="9" t="str">
        <v>通过</v>
      </c>
      <c r="K296" s="9" t="str">
        <v>通过</v>
      </c>
      <c r="L296" s="9" t="str">
        <v>通过</v>
      </c>
      <c r="M296" s="10" t="str">
        <v>通过</v>
      </c>
    </row>
    <row r="297">
      <c r="A297" s="9" t="str">
        <v>WEB-20260717-STL-046</v>
      </c>
      <c r="B297" s="9" t="str">
        <v>stl</v>
      </c>
      <c r="C297" s="9" t="str">
        <v>fill_blank</v>
      </c>
      <c r="D297" s="9" t="str">
        <v>wg21-n4950</v>
      </c>
      <c r="E297" s="9" t="str">
        <v>map.ops</v>
      </c>
      <c r="F297" s="9" t="str">
        <v>cpp23</v>
      </c>
      <c r="G297" s="9" t="str">
        <v>map::find 不插入，并以迭代器结果表示是否找到</v>
      </c>
      <c r="H297" s="9" t="str">
        <v>sources_cpp_linux</v>
      </c>
      <c r="I297" s="9" t="str">
        <v>sources_core_cs</v>
      </c>
      <c r="J297" s="9" t="str">
        <v>通过</v>
      </c>
      <c r="K297" s="9" t="str">
        <v>通过</v>
      </c>
      <c r="L297" s="9" t="str">
        <v>通过</v>
      </c>
      <c r="M297" s="10" t="str">
        <v>通过</v>
      </c>
    </row>
    <row r="298">
      <c r="A298" s="9" t="str">
        <v>WEB-20260717-STL-047</v>
      </c>
      <c r="B298" s="9" t="str">
        <v>stl</v>
      </c>
      <c r="C298" s="9" t="str">
        <v>fill_blank</v>
      </c>
      <c r="D298" s="9" t="str">
        <v>eel-algorithms</v>
      </c>
      <c r="E298" s="9" t="str">
        <v>alg.remove</v>
      </c>
      <c r="F298" s="9" t="str">
        <v>cpp23</v>
      </c>
      <c r="G298" s="9" t="str">
        <v>remove 返回新逻辑尾端，随后 erase 删除该位置到真实末尾</v>
      </c>
      <c r="H298" s="9" t="str">
        <v>sources_cpp_linux</v>
      </c>
      <c r="I298" s="9" t="str">
        <v>sources_core_cs</v>
      </c>
      <c r="J298" s="9" t="str">
        <v>通过</v>
      </c>
      <c r="K298" s="9" t="str">
        <v>通过</v>
      </c>
      <c r="L298" s="9" t="str">
        <v>通过</v>
      </c>
      <c r="M298" s="10" t="str">
        <v>通过</v>
      </c>
    </row>
    <row r="299">
      <c r="A299" s="9" t="str">
        <v>WEB-20260717-STL-048</v>
      </c>
      <c r="B299" s="9" t="str">
        <v>stl</v>
      </c>
      <c r="C299" s="9" t="str">
        <v>short_answer</v>
      </c>
      <c r="D299" s="9" t="str">
        <v>wg21-n4950</v>
      </c>
      <c r="E299" s="9" t="str">
        <v>vector.capacity</v>
      </c>
      <c r="F299" s="9" t="str">
        <v>cpp23</v>
      </c>
      <c r="G299" s="9" t="str">
        <v>reserve 管理容量，resize 管理元素数量，重分配决定广泛失效</v>
      </c>
      <c r="H299" s="9" t="str">
        <v>sources_cpp_linux</v>
      </c>
      <c r="I299" s="9" t="str">
        <v>sources_core_cs</v>
      </c>
      <c r="J299" s="9" t="str">
        <v>通过</v>
      </c>
      <c r="K299" s="9" t="str">
        <v>通过</v>
      </c>
      <c r="L299" s="9" t="str">
        <v>通过</v>
      </c>
      <c r="M299" s="10" t="str">
        <v>通过</v>
      </c>
    </row>
    <row r="300">
      <c r="A300" s="9" t="str">
        <v>WEB-20260717-STL-049</v>
      </c>
      <c r="B300" s="9" t="str">
        <v>stl</v>
      </c>
      <c r="C300" s="9" t="str">
        <v>short_answer</v>
      </c>
      <c r="D300" s="9" t="str">
        <v>wg21-n4950</v>
      </c>
      <c r="E300" s="9" t="str">
        <v>associative.reqmts</v>
      </c>
      <c r="F300" s="9" t="str">
        <v>cpp23</v>
      </c>
      <c r="G300" s="9" t="str">
        <v>严格弱序维持有序容器的等价关系与结构不变量</v>
      </c>
      <c r="H300" s="9" t="str">
        <v>sources_cpp_linux</v>
      </c>
      <c r="I300" s="9" t="str">
        <v>sources_core_cs</v>
      </c>
      <c r="J300" s="9" t="str">
        <v>通过</v>
      </c>
      <c r="K300" s="9" t="str">
        <v>通过</v>
      </c>
      <c r="L300" s="9" t="str">
        <v>通过</v>
      </c>
      <c r="M300" s="10" t="str">
        <v>通过</v>
      </c>
    </row>
    <row r="301">
      <c r="A301" s="9" t="str">
        <v>WEB-20260717-STL-050</v>
      </c>
      <c r="B301" s="9" t="str">
        <v>stl</v>
      </c>
      <c r="C301" s="9" t="str">
        <v>short_answer</v>
      </c>
      <c r="D301" s="9" t="str">
        <v>eel-algorithms|wg21-n4950</v>
      </c>
      <c r="E301" s="9" t="str">
        <v>alg.remove|vector.modifiers</v>
      </c>
      <c r="F301" s="9" t="str">
        <v>cpp23</v>
      </c>
      <c r="G301" s="9" t="str">
        <v>remove 重排范围，容器 erase 才改变尺寸</v>
      </c>
      <c r="H301" s="9" t="str">
        <v>sources_cpp_linux</v>
      </c>
      <c r="I301" s="9" t="str">
        <v>sources_core_cs</v>
      </c>
      <c r="J301" s="9" t="str">
        <v>通过</v>
      </c>
      <c r="K301" s="9" t="str">
        <v>通过</v>
      </c>
      <c r="L301" s="9" t="str">
        <v>通过</v>
      </c>
      <c r="M301" s="10" t="str">
        <v>通过</v>
      </c>
    </row>
    <row r="302">
      <c r="A302" s="9" t="str">
        <v>WEB-20260717-CO-001</v>
      </c>
      <c r="B302" s="9" t="str">
        <v>co</v>
      </c>
      <c r="C302" s="9" t="str">
        <v>single</v>
      </c>
      <c r="D302" s="9" t="str">
        <v>ieee754-2019</v>
      </c>
      <c r="E302" s="9" t="str">
        <v>binary32 interchange format and field widths</v>
      </c>
      <c r="F302" s="9" t="str">
        <v>ieee754-2019</v>
      </c>
      <c r="G302" s="9" t="str">
        <v>binary32 的指数编码字段宽度为 8 位。</v>
      </c>
      <c r="H302" s="9" t="str">
        <v>author_co</v>
      </c>
      <c r="I302" s="9" t="str">
        <v>author_network</v>
      </c>
      <c r="J302" s="9" t="str">
        <v>通过</v>
      </c>
      <c r="K302" s="9" t="str">
        <v>通过</v>
      </c>
      <c r="L302" s="9" t="str">
        <v>通过</v>
      </c>
      <c r="M302" s="10" t="str">
        <v>通过</v>
      </c>
    </row>
    <row r="303">
      <c r="A303" s="9" t="str">
        <v>WEB-20260717-CO-002</v>
      </c>
      <c r="B303" s="9" t="str">
        <v>co</v>
      </c>
      <c r="C303" s="9" t="str">
        <v>single</v>
      </c>
      <c r="D303" s="9" t="str">
        <v>ieee754-2019</v>
      </c>
      <c r="E303" s="9" t="str">
        <v>signed zero values and comparison predicates</v>
      </c>
      <c r="F303" s="9" t="str">
        <v>ieee754-2019</v>
      </c>
      <c r="G303" s="9" t="str">
        <v>正零和负零数值比较相等，但其符号编码可以不同。</v>
      </c>
      <c r="H303" s="9" t="str">
        <v>author_co</v>
      </c>
      <c r="I303" s="9" t="str">
        <v>author_network</v>
      </c>
      <c r="J303" s="9" t="str">
        <v>通过</v>
      </c>
      <c r="K303" s="9" t="str">
        <v>通过</v>
      </c>
      <c r="L303" s="9" t="str">
        <v>通过</v>
      </c>
      <c r="M303" s="10" t="str">
        <v>通过</v>
      </c>
    </row>
    <row r="304">
      <c r="A304" s="9" t="str">
        <v>WEB-20260717-CO-003</v>
      </c>
      <c r="B304" s="9" t="str">
        <v>co</v>
      </c>
      <c r="C304" s="9" t="str">
        <v>single</v>
      </c>
      <c r="D304" s="9" t="str">
        <v>riscv-rv32i</v>
      </c>
      <c r="E304" s="9" t="str">
        <v>Integer Computational Instructions, shift operations</v>
      </c>
      <c r="F304" s="9" t="str">
        <v>rv32i</v>
      </c>
      <c r="G304" s="9" t="str">
        <v>RV32I 算术右移确定复制最高符号位，而逻辑右移补零。</v>
      </c>
      <c r="H304" s="9" t="str">
        <v>author_co</v>
      </c>
      <c r="I304" s="9" t="str">
        <v>author_network</v>
      </c>
      <c r="J304" s="9" t="str">
        <v>通过</v>
      </c>
      <c r="K304" s="9" t="str">
        <v>通过</v>
      </c>
      <c r="L304" s="9" t="str">
        <v>通过</v>
      </c>
      <c r="M304" s="10" t="str">
        <v>通过</v>
      </c>
    </row>
    <row r="305">
      <c r="A305" s="9" t="str">
        <v>WEB-20260717-CO-004</v>
      </c>
      <c r="B305" s="9" t="str">
        <v>co</v>
      </c>
      <c r="C305" s="9" t="str">
        <v>multiple</v>
      </c>
      <c r="D305" s="9" t="str">
        <v>ieee754-2019</v>
      </c>
      <c r="E305" s="9" t="str">
        <v>binary interchange encodings for zero, subnormal, infinity and NaN</v>
      </c>
      <c r="F305" s="9" t="str">
        <v>ieee754-2019</v>
      </c>
      <c r="G305" s="9" t="str">
        <v>binary32 通过指数与尾数字段组合区分零、次正规数、无穷和 NaN。</v>
      </c>
      <c r="H305" s="9" t="str">
        <v>author_co</v>
      </c>
      <c r="I305" s="9" t="str">
        <v>author_network</v>
      </c>
      <c r="J305" s="9" t="str">
        <v>通过</v>
      </c>
      <c r="K305" s="9" t="str">
        <v>通过</v>
      </c>
      <c r="L305" s="9" t="str">
        <v>通过</v>
      </c>
      <c r="M305" s="10" t="str">
        <v>通过</v>
      </c>
    </row>
    <row r="306">
      <c r="A306" s="9" t="str">
        <v>WEB-20260717-CO-005</v>
      </c>
      <c r="B306" s="9" t="str">
        <v>co</v>
      </c>
      <c r="C306" s="9" t="str">
        <v>judge</v>
      </c>
      <c r="D306" s="9" t="str">
        <v>riscv-rv32i</v>
      </c>
      <c r="E306" s="9" t="str">
        <v>Integer Computational Instructions, integer overflow behavior</v>
      </c>
      <c r="F306" s="9" t="str">
        <v>rv32i</v>
      </c>
      <c r="G306" s="9" t="str">
        <v>RV32I 加法返回低 XLEN 位，不提供自动的整数溢出陷阱。</v>
      </c>
      <c r="H306" s="9" t="str">
        <v>author_co</v>
      </c>
      <c r="I306" s="9" t="str">
        <v>author_network</v>
      </c>
      <c r="J306" s="9" t="str">
        <v>通过</v>
      </c>
      <c r="K306" s="9" t="str">
        <v>通过</v>
      </c>
      <c r="L306" s="9" t="str">
        <v>通过</v>
      </c>
      <c r="M306" s="10" t="str">
        <v>通过</v>
      </c>
    </row>
    <row r="307">
      <c r="A307" s="9" t="str">
        <v>WEB-20260717-CO-006</v>
      </c>
      <c r="B307" s="9" t="str">
        <v>co</v>
      </c>
      <c r="C307" s="9" t="str">
        <v>fill_blank</v>
      </c>
      <c r="D307" s="9" t="str">
        <v>ieee754-2019</v>
      </c>
      <c r="E307" s="9" t="str">
        <v>binary32 precision and significand encoding</v>
      </c>
      <c r="F307" s="9" t="str">
        <v>ieee754-2019</v>
      </c>
      <c r="G307" s="9" t="str">
        <v>binary32 规格化数由 23 个显式尾数位和一个隐含位形成 24 位精度。</v>
      </c>
      <c r="H307" s="9" t="str">
        <v>author_co</v>
      </c>
      <c r="I307" s="9" t="str">
        <v>author_network</v>
      </c>
      <c r="J307" s="9" t="str">
        <v>通过</v>
      </c>
      <c r="K307" s="9" t="str">
        <v>通过</v>
      </c>
      <c r="L307" s="9" t="str">
        <v>通过</v>
      </c>
      <c r="M307" s="10" t="str">
        <v>通过</v>
      </c>
    </row>
    <row r="308">
      <c r="A308" s="9" t="str">
        <v>WEB-20260717-CO-007</v>
      </c>
      <c r="B308" s="9" t="str">
        <v>co</v>
      </c>
      <c r="C308" s="9" t="str">
        <v>single</v>
      </c>
      <c r="D308" s="9" t="str">
        <v>riscv-rv32i</v>
      </c>
      <c r="E308" s="9" t="str">
        <v>Load and Store Instructions, LB and LBU</v>
      </c>
      <c r="F308" s="9" t="str">
        <v>rv32i</v>
      </c>
      <c r="G308" s="9" t="str">
        <v>LB 对读出的 8 位数据做符号扩展，LBU 则做零扩展。</v>
      </c>
      <c r="H308" s="9" t="str">
        <v>author_co</v>
      </c>
      <c r="I308" s="9" t="str">
        <v>author_network</v>
      </c>
      <c r="J308" s="9" t="str">
        <v>通过</v>
      </c>
      <c r="K308" s="9" t="str">
        <v>通过</v>
      </c>
      <c r="L308" s="9" t="str">
        <v>通过</v>
      </c>
      <c r="M308" s="10" t="str">
        <v>通过</v>
      </c>
    </row>
    <row r="309">
      <c r="A309" s="9" t="str">
        <v>WEB-20260717-CO-008</v>
      </c>
      <c r="B309" s="9" t="str">
        <v>co</v>
      </c>
      <c r="C309" s="9" t="str">
        <v>single</v>
      </c>
      <c r="D309" s="9" t="str">
        <v>riscv-rv32i</v>
      </c>
      <c r="E309" s="9" t="str">
        <v>Load and Store Instructions, store halfword</v>
      </c>
      <c r="F309" s="9" t="str">
        <v>rv32i</v>
      </c>
      <c r="G309" s="9" t="str">
        <v>SH 将源寄存器的低 16 位写入内存。</v>
      </c>
      <c r="H309" s="9" t="str">
        <v>author_co</v>
      </c>
      <c r="I309" s="9" t="str">
        <v>author_network</v>
      </c>
      <c r="J309" s="9" t="str">
        <v>通过</v>
      </c>
      <c r="K309" s="9" t="str">
        <v>通过</v>
      </c>
      <c r="L309" s="9" t="str">
        <v>通过</v>
      </c>
      <c r="M309" s="10" t="str">
        <v>通过</v>
      </c>
    </row>
    <row r="310">
      <c r="A310" s="9" t="str">
        <v>WEB-20260717-CO-009</v>
      </c>
      <c r="B310" s="9" t="str">
        <v>co</v>
      </c>
      <c r="C310" s="9" t="str">
        <v>single</v>
      </c>
      <c r="D310" s="9" t="str">
        <v>riscv-rv32i</v>
      </c>
      <c r="E310" s="9" t="str">
        <v>Memory Ordering Instructions, FENCE</v>
      </c>
      <c r="F310" s="9" t="str">
        <v>rv32i</v>
      </c>
      <c r="G310" s="9" t="str">
        <v>FENCE 对前后访问的顺序施加约束，不等同于通用缓存清空。</v>
      </c>
      <c r="H310" s="9" t="str">
        <v>author_co</v>
      </c>
      <c r="I310" s="9" t="str">
        <v>author_network</v>
      </c>
      <c r="J310" s="9" t="str">
        <v>通过</v>
      </c>
      <c r="K310" s="9" t="str">
        <v>通过</v>
      </c>
      <c r="L310" s="9" t="str">
        <v>通过</v>
      </c>
      <c r="M310" s="10" t="str">
        <v>通过</v>
      </c>
    </row>
    <row r="311">
      <c r="A311" s="9" t="str">
        <v>WEB-20260717-CO-010</v>
      </c>
      <c r="B311" s="9" t="str">
        <v>co</v>
      </c>
      <c r="C311" s="9" t="str">
        <v>single</v>
      </c>
      <c r="D311" s="9" t="str">
        <v>riscv-priv</v>
      </c>
      <c r="E311" s="9" t="str">
        <v>Sv39 address translation, 4 KiB page layout</v>
      </c>
      <c r="F311" s="9" t="str">
        <v>riscv-priv</v>
      </c>
      <c r="G311" s="9" t="str">
        <v>4 KiB 基本页需要 12 位页内偏移。</v>
      </c>
      <c r="H311" s="9" t="str">
        <v>author_co</v>
      </c>
      <c r="I311" s="9" t="str">
        <v>author_network</v>
      </c>
      <c r="J311" s="9" t="str">
        <v>通过</v>
      </c>
      <c r="K311" s="9" t="str">
        <v>通过</v>
      </c>
      <c r="L311" s="9" t="str">
        <v>通过</v>
      </c>
      <c r="M311" s="10" t="str">
        <v>通过</v>
      </c>
    </row>
    <row r="312">
      <c r="A312" s="9" t="str">
        <v>WEB-20260717-CO-011</v>
      </c>
      <c r="B312" s="9" t="str">
        <v>co</v>
      </c>
      <c r="C312" s="9" t="str">
        <v>single</v>
      </c>
      <c r="D312" s="9" t="str">
        <v>riscv-priv</v>
      </c>
      <c r="E312" s="9" t="str">
        <v>Supervisor Address Translation and Protection register satp</v>
      </c>
      <c r="F312" s="9" t="str">
        <v>riscv-priv</v>
      </c>
      <c r="G312" s="9" t="str">
        <v>satp 标识转换模式、地址空间和根页表位置。</v>
      </c>
      <c r="H312" s="9" t="str">
        <v>author_co</v>
      </c>
      <c r="I312" s="9" t="str">
        <v>author_network</v>
      </c>
      <c r="J312" s="9" t="str">
        <v>通过</v>
      </c>
      <c r="K312" s="9" t="str">
        <v>通过</v>
      </c>
      <c r="L312" s="9" t="str">
        <v>通过</v>
      </c>
      <c r="M312" s="10" t="str">
        <v>通过</v>
      </c>
    </row>
    <row r="313">
      <c r="A313" s="9" t="str">
        <v>WEB-20260717-CO-012</v>
      </c>
      <c r="B313" s="9" t="str">
        <v>co</v>
      </c>
      <c r="C313" s="9" t="str">
        <v>multiple</v>
      </c>
      <c r="D313" s="9" t="str">
        <v>riscv-priv</v>
      </c>
      <c r="E313" s="9" t="str">
        <v>Sv32/Sv39 page-table entry permission and A/D fields</v>
      </c>
      <c r="F313" s="9" t="str">
        <v>riscv-priv</v>
      </c>
      <c r="G313" s="9" t="str">
        <v>页表项以 R/W/X/U 控制访问，并用 A/D 跟踪访问与写入状态。</v>
      </c>
      <c r="H313" s="9" t="str">
        <v>author_co</v>
      </c>
      <c r="I313" s="9" t="str">
        <v>author_network</v>
      </c>
      <c r="J313" s="9" t="str">
        <v>通过</v>
      </c>
      <c r="K313" s="9" t="str">
        <v>通过</v>
      </c>
      <c r="L313" s="9" t="str">
        <v>通过</v>
      </c>
      <c r="M313" s="10" t="str">
        <v>通过</v>
      </c>
    </row>
    <row r="314">
      <c r="A314" s="9" t="str">
        <v>WEB-20260717-CO-013</v>
      </c>
      <c r="B314" s="9" t="str">
        <v>co</v>
      </c>
      <c r="C314" s="9" t="str">
        <v>judge</v>
      </c>
      <c r="D314" s="9" t="str">
        <v>riscv-priv</v>
      </c>
      <c r="E314" s="9" t="str">
        <v>Supervisor Memory-Management Fence Instruction SFENCE.VMA</v>
      </c>
      <c r="F314" s="9" t="str">
        <v>riscv-priv</v>
      </c>
      <c r="G314" s="9" t="str">
        <v>页表变更需要按架构要求同步地址转换缓存，不能假定自动立即生效。</v>
      </c>
      <c r="H314" s="9" t="str">
        <v>author_co</v>
      </c>
      <c r="I314" s="9" t="str">
        <v>author_network</v>
      </c>
      <c r="J314" s="9" t="str">
        <v>通过</v>
      </c>
      <c r="K314" s="9" t="str">
        <v>通过</v>
      </c>
      <c r="L314" s="9" t="str">
        <v>通过</v>
      </c>
      <c r="M314" s="10" t="str">
        <v>通过</v>
      </c>
    </row>
    <row r="315">
      <c r="A315" s="9" t="str">
        <v>WEB-20260717-CO-014</v>
      </c>
      <c r="B315" s="9" t="str">
        <v>co</v>
      </c>
      <c r="C315" s="9" t="str">
        <v>fill_blank</v>
      </c>
      <c r="D315" s="9" t="str">
        <v>openalg-co</v>
      </c>
      <c r="E315" s="9" t="str">
        <v>Chapter 12 Cache Memory: block size and byte-address fields</v>
      </c>
      <c r="F315" s="9" t="str">
        <v>generic-byte-addressed-cache</v>
      </c>
      <c r="G315" s="9" t="str">
        <v>按字节编址时 64 B 缓存块对应 6 位块内偏移。</v>
      </c>
      <c r="H315" s="9" t="str">
        <v>author_co</v>
      </c>
      <c r="I315" s="9" t="str">
        <v>author_network</v>
      </c>
      <c r="J315" s="9" t="str">
        <v>通过</v>
      </c>
      <c r="K315" s="9" t="str">
        <v>通过</v>
      </c>
      <c r="L315" s="9" t="str">
        <v>通过</v>
      </c>
      <c r="M315" s="10" t="str">
        <v>通过</v>
      </c>
    </row>
    <row r="316">
      <c r="A316" s="9" t="str">
        <v>WEB-20260717-CO-015</v>
      </c>
      <c r="B316" s="9" t="str">
        <v>co</v>
      </c>
      <c r="C316" s="9" t="str">
        <v>single</v>
      </c>
      <c r="D316" s="9" t="str">
        <v>riscv-rv32i</v>
      </c>
      <c r="E316" s="9" t="str">
        <v>Programmers’ Model for Base Integer ISA, register x0</v>
      </c>
      <c r="F316" s="9" t="str">
        <v>rv32i</v>
      </c>
      <c r="G316" s="9" t="str">
        <v>x0 恒读为零，写入 x0 的结果不会保留。</v>
      </c>
      <c r="H316" s="9" t="str">
        <v>author_co</v>
      </c>
      <c r="I316" s="9" t="str">
        <v>author_network</v>
      </c>
      <c r="J316" s="9" t="str">
        <v>通过</v>
      </c>
      <c r="K316" s="9" t="str">
        <v>通过</v>
      </c>
      <c r="L316" s="9" t="str">
        <v>通过</v>
      </c>
      <c r="M316" s="10" t="str">
        <v>通过</v>
      </c>
    </row>
    <row r="317">
      <c r="A317" s="9" t="str">
        <v>WEB-20260717-CO-016</v>
      </c>
      <c r="B317" s="9" t="str">
        <v>co</v>
      </c>
      <c r="C317" s="9" t="str">
        <v>single</v>
      </c>
      <c r="D317" s="9" t="str">
        <v>riscv-rv32i</v>
      </c>
      <c r="E317" s="9" t="str">
        <v>Control Transfer Instructions, JAL</v>
      </c>
      <c r="F317" s="9" t="str">
        <v>rv32i</v>
      </c>
      <c r="G317" s="9" t="str">
        <v>JAL 把顺序执行地址写入 rd，并把 PC 改为相对跳转目标。</v>
      </c>
      <c r="H317" s="9" t="str">
        <v>author_co</v>
      </c>
      <c r="I317" s="9" t="str">
        <v>author_network</v>
      </c>
      <c r="J317" s="9" t="str">
        <v>通过</v>
      </c>
      <c r="K317" s="9" t="str">
        <v>通过</v>
      </c>
      <c r="L317" s="9" t="str">
        <v>通过</v>
      </c>
      <c r="M317" s="10" t="str">
        <v>通过</v>
      </c>
    </row>
    <row r="318">
      <c r="A318" s="9" t="str">
        <v>WEB-20260717-CO-017</v>
      </c>
      <c r="B318" s="9" t="str">
        <v>co</v>
      </c>
      <c r="C318" s="9" t="str">
        <v>single</v>
      </c>
      <c r="D318" s="9" t="str">
        <v>riscv-rv32i</v>
      </c>
      <c r="E318" s="9" t="str">
        <v>Control Transfer Instructions, JALR target calculation</v>
      </c>
      <c r="F318" s="9" t="str">
        <v>rv32i</v>
      </c>
      <c r="G318" s="9" t="str">
        <v>JALR 将基址与立即数相加后清除结果最低位。</v>
      </c>
      <c r="H318" s="9" t="str">
        <v>author_co</v>
      </c>
      <c r="I318" s="9" t="str">
        <v>author_network</v>
      </c>
      <c r="J318" s="9" t="str">
        <v>通过</v>
      </c>
      <c r="K318" s="9" t="str">
        <v>通过</v>
      </c>
      <c r="L318" s="9" t="str">
        <v>通过</v>
      </c>
      <c r="M318" s="10" t="str">
        <v>通过</v>
      </c>
    </row>
    <row r="319">
      <c r="A319" s="9" t="str">
        <v>WEB-20260717-CO-018</v>
      </c>
      <c r="B319" s="9" t="str">
        <v>co</v>
      </c>
      <c r="C319" s="9" t="str">
        <v>single</v>
      </c>
      <c r="D319" s="9" t="str">
        <v>riscv-rv32i</v>
      </c>
      <c r="E319" s="9" t="str">
        <v>Conditional Branches, branch target address</v>
      </c>
      <c r="F319" s="9" t="str">
        <v>rv32i</v>
      </c>
      <c r="G319" s="9" t="str">
        <v>RV32I 条件分支采用当前 PC 加分支偏移的目标计算方式。</v>
      </c>
      <c r="H319" s="9" t="str">
        <v>author_co</v>
      </c>
      <c r="I319" s="9" t="str">
        <v>author_network</v>
      </c>
      <c r="J319" s="9" t="str">
        <v>通过</v>
      </c>
      <c r="K319" s="9" t="str">
        <v>通过</v>
      </c>
      <c r="L319" s="9" t="str">
        <v>通过</v>
      </c>
      <c r="M319" s="10" t="str">
        <v>通过</v>
      </c>
    </row>
    <row r="320">
      <c r="A320" s="9" t="str">
        <v>WEB-20260717-CO-019</v>
      </c>
      <c r="B320" s="9" t="str">
        <v>co</v>
      </c>
      <c r="C320" s="9" t="str">
        <v>single</v>
      </c>
      <c r="D320" s="9" t="str">
        <v>riscv-rv32i</v>
      </c>
      <c r="E320" s="9" t="str">
        <v>Integer Register-Immediate Instructions, LUI</v>
      </c>
      <c r="F320" s="9" t="str">
        <v>rv32i</v>
      </c>
      <c r="G320" s="9" t="str">
        <v>LUI 生成以 imm20 为高位、低 12 位为零的 32 位结果。</v>
      </c>
      <c r="H320" s="9" t="str">
        <v>author_co</v>
      </c>
      <c r="I320" s="9" t="str">
        <v>author_network</v>
      </c>
      <c r="J320" s="9" t="str">
        <v>通过</v>
      </c>
      <c r="K320" s="9" t="str">
        <v>通过</v>
      </c>
      <c r="L320" s="9" t="str">
        <v>通过</v>
      </c>
      <c r="M320" s="10" t="str">
        <v>通过</v>
      </c>
    </row>
    <row r="321">
      <c r="A321" s="9" t="str">
        <v>WEB-20260717-CO-020</v>
      </c>
      <c r="B321" s="9" t="str">
        <v>co</v>
      </c>
      <c r="C321" s="9" t="str">
        <v>single</v>
      </c>
      <c r="D321" s="9" t="str">
        <v>riscv-rv32i</v>
      </c>
      <c r="E321" s="9" t="str">
        <v>Integer Register-Immediate Instructions, AUIPC and LUI</v>
      </c>
      <c r="F321" s="9" t="str">
        <v>rv32i</v>
      </c>
      <c r="G321" s="9" t="str">
        <v>AUIPC 用当前 PC 与 U 型立即数形成 PC 相对结果。</v>
      </c>
      <c r="H321" s="9" t="str">
        <v>author_co</v>
      </c>
      <c r="I321" s="9" t="str">
        <v>author_network</v>
      </c>
      <c r="J321" s="9" t="str">
        <v>通过</v>
      </c>
      <c r="K321" s="9" t="str">
        <v>通过</v>
      </c>
      <c r="L321" s="9" t="str">
        <v>通过</v>
      </c>
      <c r="M321" s="10" t="str">
        <v>通过</v>
      </c>
    </row>
    <row r="322">
      <c r="A322" s="9" t="str">
        <v>WEB-20260717-CO-021</v>
      </c>
      <c r="B322" s="9" t="str">
        <v>co</v>
      </c>
      <c r="C322" s="9" t="str">
        <v>multiple</v>
      </c>
      <c r="D322" s="9" t="str">
        <v>riscv-rv32i</v>
      </c>
      <c r="E322" s="9" t="str">
        <v>Integer Register-Immediate Instructions</v>
      </c>
      <c r="F322" s="9" t="str">
        <v>rv32i</v>
      </c>
      <c r="G322" s="9" t="str">
        <v>RV32I I 型算术立即数通常符号扩展，并按具体操作执行算术、比较或逻辑功能。</v>
      </c>
      <c r="H322" s="9" t="str">
        <v>author_co</v>
      </c>
      <c r="I322" s="9" t="str">
        <v>author_network</v>
      </c>
      <c r="J322" s="9" t="str">
        <v>通过</v>
      </c>
      <c r="K322" s="9" t="str">
        <v>通过</v>
      </c>
      <c r="L322" s="9" t="str">
        <v>通过</v>
      </c>
      <c r="M322" s="10" t="str">
        <v>通过</v>
      </c>
    </row>
    <row r="323">
      <c r="A323" s="9" t="str">
        <v>WEB-20260717-CO-022</v>
      </c>
      <c r="B323" s="9" t="str">
        <v>co</v>
      </c>
      <c r="C323" s="9" t="str">
        <v>multiple</v>
      </c>
      <c r="D323" s="9" t="str">
        <v>riscv-rv32i</v>
      </c>
      <c r="E323" s="9" t="str">
        <v>Control Transfer Instructions, JAL, JALR and conditional branches</v>
      </c>
      <c r="F323" s="9" t="str">
        <v>rv32i</v>
      </c>
      <c r="G323" s="9" t="str">
        <v>RV32I 以 JAL、JALR 和直接寄存器比较分支完成主要控制转移。</v>
      </c>
      <c r="H323" s="9" t="str">
        <v>author_co</v>
      </c>
      <c r="I323" s="9" t="str">
        <v>author_network</v>
      </c>
      <c r="J323" s="9" t="str">
        <v>通过</v>
      </c>
      <c r="K323" s="9" t="str">
        <v>通过</v>
      </c>
      <c r="L323" s="9" t="str">
        <v>通过</v>
      </c>
      <c r="M323" s="10" t="str">
        <v>通过</v>
      </c>
    </row>
    <row r="324">
      <c r="A324" s="9" t="str">
        <v>WEB-20260717-CO-023</v>
      </c>
      <c r="B324" s="9" t="str">
        <v>co</v>
      </c>
      <c r="C324" s="9" t="str">
        <v>judge</v>
      </c>
      <c r="D324" s="9" t="str">
        <v>riscv-spec-library|riscv-rv32i</v>
      </c>
      <c r="E324" s="9" t="str">
        <v>ratified unprivileged ISA module list|RV32I base instruction set scope</v>
      </c>
      <c r="F324" s="9" t="str">
        <v>rv32i</v>
      </c>
      <c r="G324" s="9" t="str">
        <v>乘除法属于独立 M 扩展，不是 RV32I 基础指令的强制组成。</v>
      </c>
      <c r="H324" s="9" t="str">
        <v>author_co</v>
      </c>
      <c r="I324" s="9" t="str">
        <v>author_network</v>
      </c>
      <c r="J324" s="9" t="str">
        <v>通过</v>
      </c>
      <c r="K324" s="9" t="str">
        <v>通过</v>
      </c>
      <c r="L324" s="9" t="str">
        <v>通过</v>
      </c>
      <c r="M324" s="10" t="str">
        <v>通过</v>
      </c>
    </row>
    <row r="325">
      <c r="A325" s="9" t="str">
        <v>WEB-20260717-CO-024</v>
      </c>
      <c r="B325" s="9" t="str">
        <v>co</v>
      </c>
      <c r="C325" s="9" t="str">
        <v>fill_blank</v>
      </c>
      <c r="D325" s="9" t="str">
        <v>riscv-rv32i</v>
      </c>
      <c r="E325" s="9" t="str">
        <v>Programmers’ Model for Base Integer ISA</v>
      </c>
      <c r="F325" s="9" t="str">
        <v>rv32i</v>
      </c>
      <c r="G325" s="9" t="str">
        <v>RV32I 定义 32 个整数寄存器，编号为 x0 至 x31。</v>
      </c>
      <c r="H325" s="9" t="str">
        <v>author_co</v>
      </c>
      <c r="I325" s="9" t="str">
        <v>author_network</v>
      </c>
      <c r="J325" s="9" t="str">
        <v>通过</v>
      </c>
      <c r="K325" s="9" t="str">
        <v>通过</v>
      </c>
      <c r="L325" s="9" t="str">
        <v>通过</v>
      </c>
      <c r="M325" s="10" t="str">
        <v>通过</v>
      </c>
    </row>
    <row r="326">
      <c r="A326" s="9" t="str">
        <v>WEB-20260717-CO-025</v>
      </c>
      <c r="B326" s="9" t="str">
        <v>co</v>
      </c>
      <c r="C326" s="9" t="str">
        <v>single</v>
      </c>
      <c r="D326" s="9" t="str">
        <v>riscv-priv</v>
      </c>
      <c r="E326" s="9" t="str">
        <v>Machine Cause Register mcause</v>
      </c>
      <c r="F326" s="9" t="str">
        <v>riscv-priv</v>
      </c>
      <c r="G326" s="9" t="str">
        <v>mcause 记录机器模式陷阱是否为中断以及相应原因编号。</v>
      </c>
      <c r="H326" s="9" t="str">
        <v>author_co</v>
      </c>
      <c r="I326" s="9" t="str">
        <v>author_network</v>
      </c>
      <c r="J326" s="9" t="str">
        <v>通过</v>
      </c>
      <c r="K326" s="9" t="str">
        <v>通过</v>
      </c>
      <c r="L326" s="9" t="str">
        <v>通过</v>
      </c>
      <c r="M326" s="10" t="str">
        <v>通过</v>
      </c>
    </row>
    <row r="327">
      <c r="A327" s="9" t="str">
        <v>WEB-20260717-CO-026</v>
      </c>
      <c r="B327" s="9" t="str">
        <v>co</v>
      </c>
      <c r="C327" s="9" t="str">
        <v>single</v>
      </c>
      <c r="D327" s="9" t="str">
        <v>riscv-priv</v>
      </c>
      <c r="E327" s="9" t="str">
        <v>Machine Trap-Vector Base-Address Register mtvec</v>
      </c>
      <c r="F327" s="9" t="str">
        <v>riscv-priv</v>
      </c>
      <c r="G327" s="9" t="str">
        <v>mtvec 规定机器模式陷阱处理入口基址及入口模式。</v>
      </c>
      <c r="H327" s="9" t="str">
        <v>author_co</v>
      </c>
      <c r="I327" s="9" t="str">
        <v>author_network</v>
      </c>
      <c r="J327" s="9" t="str">
        <v>通过</v>
      </c>
      <c r="K327" s="9" t="str">
        <v>通过</v>
      </c>
      <c r="L327" s="9" t="str">
        <v>通过</v>
      </c>
      <c r="M327" s="10" t="str">
        <v>通过</v>
      </c>
    </row>
    <row r="328">
      <c r="A328" s="9" t="str">
        <v>WEB-20260717-CO-027</v>
      </c>
      <c r="B328" s="9" t="str">
        <v>co</v>
      </c>
      <c r="C328" s="9" t="str">
        <v>single</v>
      </c>
      <c r="D328" s="9" t="str">
        <v>riscv-priv</v>
      </c>
      <c r="E328" s="9" t="str">
        <v>Machine Exception Program Counter mepc</v>
      </c>
      <c r="F328" s="9" t="str">
        <v>riscv-priv</v>
      </c>
      <c r="G328" s="9" t="str">
        <v>mepc 保存机器模式陷阱相关的程序计数器值，供处理与返回使用。</v>
      </c>
      <c r="H328" s="9" t="str">
        <v>author_co</v>
      </c>
      <c r="I328" s="9" t="str">
        <v>author_network</v>
      </c>
      <c r="J328" s="9" t="str">
        <v>通过</v>
      </c>
      <c r="K328" s="9" t="str">
        <v>通过</v>
      </c>
      <c r="L328" s="9" t="str">
        <v>通过</v>
      </c>
      <c r="M328" s="10" t="str">
        <v>通过</v>
      </c>
    </row>
    <row r="329">
      <c r="A329" s="9" t="str">
        <v>WEB-20260717-CO-028</v>
      </c>
      <c r="B329" s="9" t="str">
        <v>co</v>
      </c>
      <c r="C329" s="9" t="str">
        <v>single</v>
      </c>
      <c r="D329" s="9" t="str">
        <v>riscv-priv</v>
      </c>
      <c r="E329" s="9" t="str">
        <v>Machine-level trap return instruction MRET</v>
      </c>
      <c r="F329" s="9" t="str">
        <v>riscv-priv</v>
      </c>
      <c r="G329" s="9" t="str">
        <v>MRET 恢复陷阱前特权与中断状态，并按 mepc 返回。</v>
      </c>
      <c r="H329" s="9" t="str">
        <v>author_co</v>
      </c>
      <c r="I329" s="9" t="str">
        <v>author_network</v>
      </c>
      <c r="J329" s="9" t="str">
        <v>通过</v>
      </c>
      <c r="K329" s="9" t="str">
        <v>通过</v>
      </c>
      <c r="L329" s="9" t="str">
        <v>通过</v>
      </c>
      <c r="M329" s="10" t="str">
        <v>通过</v>
      </c>
    </row>
    <row r="330">
      <c r="A330" s="9" t="str">
        <v>WEB-20260717-CO-029</v>
      </c>
      <c r="B330" s="9" t="str">
        <v>co</v>
      </c>
      <c r="C330" s="9" t="str">
        <v>single</v>
      </c>
      <c r="D330" s="9" t="str">
        <v>openalg-co</v>
      </c>
      <c r="E330" s="9" t="str">
        <v>Chapter 11 Pipeline: load instruction EX, MEM and WB stages</v>
      </c>
      <c r="F330" s="9" t="str">
        <v>generic-five-stage-pipeline</v>
      </c>
      <c r="G330" s="9" t="str">
        <v>经典五级流水线在 MEM 阶段读取加载指令的数据存储器。</v>
      </c>
      <c r="H330" s="9" t="str">
        <v>author_co</v>
      </c>
      <c r="I330" s="9" t="str">
        <v>author_network</v>
      </c>
      <c r="J330" s="9" t="str">
        <v>通过</v>
      </c>
      <c r="K330" s="9" t="str">
        <v>通过</v>
      </c>
      <c r="L330" s="9" t="str">
        <v>通过</v>
      </c>
      <c r="M330" s="10" t="str">
        <v>通过</v>
      </c>
    </row>
    <row r="331">
      <c r="A331" s="9" t="str">
        <v>WEB-20260717-CO-030</v>
      </c>
      <c r="B331" s="9" t="str">
        <v>co</v>
      </c>
      <c r="C331" s="9" t="str">
        <v>multiple</v>
      </c>
      <c r="D331" s="9" t="str">
        <v>openalg-co</v>
      </c>
      <c r="E331" s="9" t="str">
        <v>Chapter 11 Pipeline: pipeline registers, load path and write-back stage</v>
      </c>
      <c r="F331" s="9" t="str">
        <v>generic-pipeline</v>
      </c>
      <c r="G331" s="9" t="str">
        <v>五级流水线以级间寄存器传递数据和控制，并让各阶段承担不同职责。</v>
      </c>
      <c r="H331" s="9" t="str">
        <v>author_co</v>
      </c>
      <c r="I331" s="9" t="str">
        <v>author_network</v>
      </c>
      <c r="J331" s="9" t="str">
        <v>通过</v>
      </c>
      <c r="K331" s="9" t="str">
        <v>通过</v>
      </c>
      <c r="L331" s="9" t="str">
        <v>通过</v>
      </c>
      <c r="M331" s="10" t="str">
        <v>通过</v>
      </c>
    </row>
    <row r="332">
      <c r="A332" s="9" t="str">
        <v>WEB-20260717-CO-031</v>
      </c>
      <c r="B332" s="9" t="str">
        <v>co</v>
      </c>
      <c r="C332" s="9" t="str">
        <v>multiple</v>
      </c>
      <c r="D332" s="9" t="str">
        <v>riscv-a</v>
      </c>
      <c r="E332" s="9" t="str">
        <v>Load-Reserved and Store-Conditional Instructions</v>
      </c>
      <c r="F332" s="9" t="str">
        <v>riscv-a-20240411</v>
      </c>
      <c r="G332" s="9" t="str">
        <v>LR/SC 通过保留与条件存储结果构建可重试的原子更新序列。</v>
      </c>
      <c r="H332" s="9" t="str">
        <v>author_co</v>
      </c>
      <c r="I332" s="9" t="str">
        <v>author_network</v>
      </c>
      <c r="J332" s="9" t="str">
        <v>通过</v>
      </c>
      <c r="K332" s="9" t="str">
        <v>通过</v>
      </c>
      <c r="L332" s="9" t="str">
        <v>通过</v>
      </c>
      <c r="M332" s="10" t="str">
        <v>通过</v>
      </c>
    </row>
    <row r="333">
      <c r="A333" s="9" t="str">
        <v>WEB-20260717-CO-032</v>
      </c>
      <c r="B333" s="9" t="str">
        <v>co</v>
      </c>
      <c r="C333" s="9" t="str">
        <v>judge</v>
      </c>
      <c r="D333" s="9" t="str">
        <v>openalg-co</v>
      </c>
      <c r="E333" s="9" t="str">
        <v>Chapter 11 Pipeline: throughput improvement versus instruction latency</v>
      </c>
      <c r="F333" s="9" t="str">
        <v>generic-pipeline</v>
      </c>
      <c r="G333" s="9" t="str">
        <v>流水化主要提高指令吞吐率，不保证缩短单条指令延迟。</v>
      </c>
      <c r="H333" s="9" t="str">
        <v>author_co</v>
      </c>
      <c r="I333" s="9" t="str">
        <v>author_network</v>
      </c>
      <c r="J333" s="9" t="str">
        <v>通过</v>
      </c>
      <c r="K333" s="9" t="str">
        <v>通过</v>
      </c>
      <c r="L333" s="9" t="str">
        <v>通过</v>
      </c>
      <c r="M333" s="10" t="str">
        <v>通过</v>
      </c>
    </row>
    <row r="334">
      <c r="A334" s="9" t="str">
        <v>WEB-20260717-CO-033</v>
      </c>
      <c r="B334" s="9" t="str">
        <v>co</v>
      </c>
      <c r="C334" s="9" t="str">
        <v>short_answer</v>
      </c>
      <c r="D334" s="9" t="str">
        <v>openalg-co</v>
      </c>
      <c r="E334" s="9" t="str">
        <v>Chapter 11 Pipeline: longest stage determines clock period and unbalanced-stage speedup</v>
      </c>
      <c r="F334" s="9" t="str">
        <v>generic-five-stage-pipeline</v>
      </c>
      <c r="G334" s="9" t="str">
        <v>统一流水周期由最慢阶段决定，阶段不均衡会浪费较快阶段的能力。</v>
      </c>
      <c r="H334" s="9" t="str">
        <v>author_co</v>
      </c>
      <c r="I334" s="9" t="str">
        <v>author_network</v>
      </c>
      <c r="J334" s="9" t="str">
        <v>通过</v>
      </c>
      <c r="K334" s="9" t="str">
        <v>通过</v>
      </c>
      <c r="L334" s="9" t="str">
        <v>通过</v>
      </c>
      <c r="M334" s="10" t="str">
        <v>通过</v>
      </c>
    </row>
    <row r="335">
      <c r="A335" s="9" t="str">
        <v>WEB-20260717-CO-034</v>
      </c>
      <c r="B335" s="9" t="str">
        <v>co</v>
      </c>
      <c r="C335" s="9" t="str">
        <v>single</v>
      </c>
      <c r="D335" s="9" t="str">
        <v>openalg-co</v>
      </c>
      <c r="E335" s="9" t="str">
        <v>Chapter 8 Basic CPU Organization: multiplexers select ALU or data-memory output</v>
      </c>
      <c r="F335" s="9" t="str">
        <v>generic-cpu-datapath</v>
      </c>
      <c r="G335" s="9" t="str">
        <v>CPU 写回总线通常由多路选择器在 ALU 与存储器结果之间选择。</v>
      </c>
      <c r="H335" s="9" t="str">
        <v>author_co</v>
      </c>
      <c r="I335" s="9" t="str">
        <v>author_network</v>
      </c>
      <c r="J335" s="9" t="str">
        <v>通过</v>
      </c>
      <c r="K335" s="9" t="str">
        <v>通过</v>
      </c>
      <c r="L335" s="9" t="str">
        <v>通过</v>
      </c>
      <c r="M335" s="10" t="str">
        <v>通过</v>
      </c>
    </row>
    <row r="336">
      <c r="A336" s="9" t="str">
        <v>WEB-20260717-CO-035</v>
      </c>
      <c r="B336" s="9" t="str">
        <v>co</v>
      </c>
      <c r="C336" s="9" t="str">
        <v>single</v>
      </c>
      <c r="D336" s="9" t="str">
        <v>riscv-rv32i</v>
      </c>
      <c r="E336" s="9" t="str">
        <v>RV32I address space: 32-bit byte-addressed address range</v>
      </c>
      <c r="F336" s="9" t="str">
        <v>rv32i-address-space</v>
      </c>
      <c r="G336" s="9" t="str">
        <v>32 位字节地址空间包含 2^32 个字节位置，即 4 GiB。</v>
      </c>
      <c r="H336" s="9" t="str">
        <v>author_co</v>
      </c>
      <c r="I336" s="9" t="str">
        <v>author_network</v>
      </c>
      <c r="J336" s="9" t="str">
        <v>通过</v>
      </c>
      <c r="K336" s="9" t="str">
        <v>通过</v>
      </c>
      <c r="L336" s="9" t="str">
        <v>通过</v>
      </c>
      <c r="M336" s="10" t="str">
        <v>通过</v>
      </c>
    </row>
    <row r="337">
      <c r="A337" s="9" t="str">
        <v>WEB-20260717-CO-036</v>
      </c>
      <c r="B337" s="9" t="str">
        <v>co</v>
      </c>
      <c r="C337" s="9" t="str">
        <v>judge</v>
      </c>
      <c r="D337" s="9" t="str">
        <v>openalg-co</v>
      </c>
      <c r="E337" s="9" t="str">
        <v>Chapter 8 Basic CPU Organization: datapath outputs require multiplexer selection</v>
      </c>
      <c r="F337" s="9" t="str">
        <v>generic-cpu-datapath</v>
      </c>
      <c r="G337" s="9" t="str">
        <v>共享连线需要选择机制，不能让多个数据源无条件同时驱动。</v>
      </c>
      <c r="H337" s="9" t="str">
        <v>author_co</v>
      </c>
      <c r="I337" s="9" t="str">
        <v>author_network</v>
      </c>
      <c r="J337" s="9" t="str">
        <v>通过</v>
      </c>
      <c r="K337" s="9" t="str">
        <v>通过</v>
      </c>
      <c r="L337" s="9" t="str">
        <v>通过</v>
      </c>
      <c r="M337" s="10" t="str">
        <v>通过</v>
      </c>
    </row>
    <row r="338">
      <c r="A338" s="9" t="str">
        <v>WEB-20260717-CO-037</v>
      </c>
      <c r="B338" s="9" t="str">
        <v>co</v>
      </c>
      <c r="C338" s="9" t="str">
        <v>multiple</v>
      </c>
      <c r="D338" s="9" t="str">
        <v>openalg-co</v>
      </c>
      <c r="E338" s="9" t="str">
        <v>Chapter 8 Basic CPU Organization: PC, ALU-input and write-back multiplexers</v>
      </c>
      <c r="F338" s="9" t="str">
        <v>generic-cpu-datapath</v>
      </c>
      <c r="G338" s="9" t="str">
        <v>多路选择器受控制信号驱动，为数据通路选择单一候选输入。</v>
      </c>
      <c r="H338" s="9" t="str">
        <v>author_co</v>
      </c>
      <c r="I338" s="9" t="str">
        <v>author_network</v>
      </c>
      <c r="J338" s="9" t="str">
        <v>通过</v>
      </c>
      <c r="K338" s="9" t="str">
        <v>通过</v>
      </c>
      <c r="L338" s="9" t="str">
        <v>通过</v>
      </c>
      <c r="M338" s="10" t="str">
        <v>通过</v>
      </c>
    </row>
    <row r="339">
      <c r="A339" s="9" t="str">
        <v>WEB-20260717-CO-038</v>
      </c>
      <c r="B339" s="9" t="str">
        <v>co</v>
      </c>
      <c r="C339" s="9" t="str">
        <v>single</v>
      </c>
      <c r="D339" s="9" t="str">
        <v>riscv-rv32i</v>
      </c>
      <c r="E339" s="9" t="str">
        <v>Memory Ordering Instructions: memory-mapped I/O devices use load/store accesses classified by the EEI</v>
      </c>
      <c r="F339" s="9" t="str">
        <v>rv32i-eei</v>
      </c>
      <c r="G339" s="9" t="str">
        <v>存储器映射 I/O 将设备寄存器纳入处理器地址空间供加载存储访问。</v>
      </c>
      <c r="H339" s="9" t="str">
        <v>author_co</v>
      </c>
      <c r="I339" s="9" t="str">
        <v>author_network</v>
      </c>
      <c r="J339" s="9" t="str">
        <v>通过</v>
      </c>
      <c r="K339" s="9" t="str">
        <v>通过</v>
      </c>
      <c r="L339" s="9" t="str">
        <v>通过</v>
      </c>
      <c r="M339" s="10" t="str">
        <v>通过</v>
      </c>
    </row>
    <row r="340">
      <c r="A340" s="9" t="str">
        <v>WEB-20260717-CO-039</v>
      </c>
      <c r="B340" s="9" t="str">
        <v>co</v>
      </c>
      <c r="C340" s="9" t="str">
        <v>single</v>
      </c>
      <c r="D340" s="9" t="str">
        <v>riscv-rv32i</v>
      </c>
      <c r="E340" s="9" t="str">
        <v>Memory Ordering Instructions: EEI defines memory and device I/O address accesses</v>
      </c>
      <c r="F340" s="9" t="str">
        <v>rv32i-eei</v>
      </c>
      <c r="G340" s="9" t="str">
        <v>RISC-V EEI 决定地址访问被视为内存操作还是设备 I/O。</v>
      </c>
      <c r="H340" s="9" t="str">
        <v>author_co</v>
      </c>
      <c r="I340" s="9" t="str">
        <v>author_network</v>
      </c>
      <c r="J340" s="9" t="str">
        <v>通过</v>
      </c>
      <c r="K340" s="9" t="str">
        <v>通过</v>
      </c>
      <c r="L340" s="9" t="str">
        <v>通过</v>
      </c>
      <c r="M340" s="10" t="str">
        <v>通过</v>
      </c>
    </row>
    <row r="341">
      <c r="A341" s="9" t="str">
        <v>WEB-20260717-CO-040</v>
      </c>
      <c r="B341" s="9" t="str">
        <v>co</v>
      </c>
      <c r="C341" s="9" t="str">
        <v>single</v>
      </c>
      <c r="D341" s="9" t="str">
        <v>riscv-rv32i</v>
      </c>
      <c r="E341" s="9" t="str">
        <v>Memory Ordering Instructions: FENCE predecessor O and successor R classes</v>
      </c>
      <c r="F341" s="9" t="str">
        <v>rv32i</v>
      </c>
      <c r="G341" s="9" t="str">
        <v>设备输出到后续内存读取的顺序约束需要 O 作为前序、R 作为后续。</v>
      </c>
      <c r="H341" s="9" t="str">
        <v>author_co</v>
      </c>
      <c r="I341" s="9" t="str">
        <v>author_network</v>
      </c>
      <c r="J341" s="9" t="str">
        <v>通过</v>
      </c>
      <c r="K341" s="9" t="str">
        <v>通过</v>
      </c>
      <c r="L341" s="9" t="str">
        <v>通过</v>
      </c>
      <c r="M341" s="10" t="str">
        <v>通过</v>
      </c>
    </row>
    <row r="342">
      <c r="A342" s="9" t="str">
        <v>WEB-20260717-CO-041</v>
      </c>
      <c r="B342" s="9" t="str">
        <v>co</v>
      </c>
      <c r="C342" s="9" t="str">
        <v>multiple</v>
      </c>
      <c r="D342" s="9" t="str">
        <v>riscv-rv32i</v>
      </c>
      <c r="E342" s="9" t="str">
        <v>Memory Ordering Instructions: FENCE I/O and memory classes and scope limits</v>
      </c>
      <c r="F342" s="9" t="str">
        <v>rv32i</v>
      </c>
      <c r="G342" s="9" t="str">
        <v>FENCE 约束选定内存与 I/O 访问的顺序，但不是万能缓存或设备完成指令。</v>
      </c>
      <c r="H342" s="9" t="str">
        <v>author_co</v>
      </c>
      <c r="I342" s="9" t="str">
        <v>author_network</v>
      </c>
      <c r="J342" s="9" t="str">
        <v>通过</v>
      </c>
      <c r="K342" s="9" t="str">
        <v>通过</v>
      </c>
      <c r="L342" s="9" t="str">
        <v>通过</v>
      </c>
      <c r="M342" s="10" t="str">
        <v>通过</v>
      </c>
    </row>
    <row r="343">
      <c r="A343" s="9" t="str">
        <v>WEB-20260717-CO-042</v>
      </c>
      <c r="B343" s="9" t="str">
        <v>co</v>
      </c>
      <c r="C343" s="9" t="str">
        <v>short_answer</v>
      </c>
      <c r="D343" s="9" t="str">
        <v>riscv-rv32i</v>
      </c>
      <c r="E343" s="9" t="str">
        <v>Memory Ordering Instructions: FENCE does not order external non-memory signaling</v>
      </c>
      <c r="F343" s="9" t="str">
        <v>rv32i-eei</v>
      </c>
      <c r="G343" s="9" t="str">
        <v>FENCE 只保证规定访问类别的顺序，设备完成仍需遵循平台和设备协议。</v>
      </c>
      <c r="H343" s="9" t="str">
        <v>author_co</v>
      </c>
      <c r="I343" s="9" t="str">
        <v>author_network</v>
      </c>
      <c r="J343" s="9" t="str">
        <v>通过</v>
      </c>
      <c r="K343" s="9" t="str">
        <v>通过</v>
      </c>
      <c r="L343" s="9" t="str">
        <v>通过</v>
      </c>
      <c r="M343" s="10" t="str">
        <v>通过</v>
      </c>
    </row>
    <row r="344">
      <c r="A344" s="9" t="str">
        <v>WEB-20260717-CO-043</v>
      </c>
      <c r="B344" s="9" t="str">
        <v>co</v>
      </c>
      <c r="C344" s="9" t="str">
        <v>single</v>
      </c>
      <c r="D344" s="9" t="str">
        <v>openalg-co</v>
      </c>
      <c r="E344" s="9" t="str">
        <v>Chapter 11 Pipeline: the longest stage determines pipelined clock period</v>
      </c>
      <c r="F344" s="9" t="str">
        <v>generic-five-stage-pipeline</v>
      </c>
      <c r="G344" s="9" t="str">
        <v>同步流水线的最小时钟周期由最慢阶段延迟决定。</v>
      </c>
      <c r="H344" s="9" t="str">
        <v>author_co</v>
      </c>
      <c r="I344" s="9" t="str">
        <v>author_network</v>
      </c>
      <c r="J344" s="9" t="str">
        <v>通过</v>
      </c>
      <c r="K344" s="9" t="str">
        <v>通过</v>
      </c>
      <c r="L344" s="9" t="str">
        <v>通过</v>
      </c>
      <c r="M344" s="10" t="str">
        <v>通过</v>
      </c>
    </row>
    <row r="345">
      <c r="A345" s="9" t="str">
        <v>WEB-20260717-CO-044</v>
      </c>
      <c r="B345" s="9" t="str">
        <v>co</v>
      </c>
      <c r="C345" s="9" t="str">
        <v>single</v>
      </c>
      <c r="D345" s="9" t="str">
        <v>openalg-co</v>
      </c>
      <c r="E345" s="9" t="str">
        <v>Chapter 12 Memory: hit rate and miss rate definitions</v>
      </c>
      <c r="F345" s="9" t="str">
        <v>generic-cache</v>
      </c>
      <c r="G345" s="9" t="str">
        <v>命中率等于命中次数除以总访问次数，本例为 85%。</v>
      </c>
      <c r="H345" s="9" t="str">
        <v>author_co</v>
      </c>
      <c r="I345" s="9" t="str">
        <v>author_network</v>
      </c>
      <c r="J345" s="9" t="str">
        <v>通过</v>
      </c>
      <c r="K345" s="9" t="str">
        <v>通过</v>
      </c>
      <c r="L345" s="9" t="str">
        <v>通过</v>
      </c>
      <c r="M345" s="10" t="str">
        <v>通过</v>
      </c>
    </row>
    <row r="346">
      <c r="A346" s="9" t="str">
        <v>WEB-20260717-CO-045</v>
      </c>
      <c r="B346" s="9" t="str">
        <v>co</v>
      </c>
      <c r="C346" s="9" t="str">
        <v>single</v>
      </c>
      <c r="D346" s="9" t="str">
        <v>openalg-co</v>
      </c>
      <c r="E346" s="9" t="str">
        <v>Chapter 12 Memory: direct-mapped cache uses block address modulo number of sets</v>
      </c>
      <c r="F346" s="9" t="str">
        <v>generic-direct-mapped-cache</v>
      </c>
      <c r="G346" s="9" t="str">
        <v>块号 3 和 11 对 8 取模相同，会在直接映射缓存中发生位置冲突。</v>
      </c>
      <c r="H346" s="9" t="str">
        <v>author_co</v>
      </c>
      <c r="I346" s="9" t="str">
        <v>author_network</v>
      </c>
      <c r="J346" s="9" t="str">
        <v>通过</v>
      </c>
      <c r="K346" s="9" t="str">
        <v>通过</v>
      </c>
      <c r="L346" s="9" t="str">
        <v>通过</v>
      </c>
      <c r="M346" s="10" t="str">
        <v>通过</v>
      </c>
    </row>
    <row r="347">
      <c r="A347" s="9" t="str">
        <v>WEB-20260717-CO-046</v>
      </c>
      <c r="B347" s="9" t="str">
        <v>co</v>
      </c>
      <c r="C347" s="9" t="str">
        <v>single</v>
      </c>
      <c r="D347" s="9" t="str">
        <v>openalg-co</v>
      </c>
      <c r="E347" s="9" t="str">
        <v>Chapter 12 Memory: direct-mapped cache tag comparison and valid bit</v>
      </c>
      <c r="F347" s="9" t="str">
        <v>generic-direct-mapped-cache</v>
      </c>
      <c r="G347" s="9" t="str">
        <v>直接映射缓存命中需要候选行有效且标签匹配。</v>
      </c>
      <c r="H347" s="9" t="str">
        <v>author_co</v>
      </c>
      <c r="I347" s="9" t="str">
        <v>author_network</v>
      </c>
      <c r="J347" s="9" t="str">
        <v>通过</v>
      </c>
      <c r="K347" s="9" t="str">
        <v>通过</v>
      </c>
      <c r="L347" s="9" t="str">
        <v>通过</v>
      </c>
      <c r="M347" s="10" t="str">
        <v>通过</v>
      </c>
    </row>
    <row r="348">
      <c r="A348" s="9" t="str">
        <v>WEB-20260717-CO-047</v>
      </c>
      <c r="B348" s="9" t="str">
        <v>co</v>
      </c>
      <c r="C348" s="9" t="str">
        <v>single</v>
      </c>
      <c r="D348" s="9" t="str">
        <v>openalg-co</v>
      </c>
      <c r="E348" s="9" t="str">
        <v>Chapter 12 Memory: cache capacity, block size and number of blocks</v>
      </c>
      <c r="F348" s="9" t="str">
        <v>generic-cache</v>
      </c>
      <c r="G348" s="9" t="str">
        <v>8 KiB 容量除以 64 B 块大小得到 128 个缓存块位置。</v>
      </c>
      <c r="H348" s="9" t="str">
        <v>author_co</v>
      </c>
      <c r="I348" s="9" t="str">
        <v>author_network</v>
      </c>
      <c r="J348" s="9" t="str">
        <v>通过</v>
      </c>
      <c r="K348" s="9" t="str">
        <v>通过</v>
      </c>
      <c r="L348" s="9" t="str">
        <v>通过</v>
      </c>
      <c r="M348" s="10" t="str">
        <v>通过</v>
      </c>
    </row>
    <row r="349">
      <c r="A349" s="9" t="str">
        <v>WEB-20260717-CO-048</v>
      </c>
      <c r="B349" s="9" t="str">
        <v>co</v>
      </c>
      <c r="C349" s="9" t="str">
        <v>single</v>
      </c>
      <c r="D349" s="9" t="str">
        <v>openalg-co</v>
      </c>
      <c r="E349" s="9" t="str">
        <v>Chapter 12 Memory: N-way set-associative cache and reduced conflicts</v>
      </c>
      <c r="F349" s="9" t="str">
        <v>generic-set-associative-cache</v>
      </c>
      <c r="G349" s="9" t="str">
        <v>二路组相联可让同一集合保留两个冲突块，降低相互驱逐。</v>
      </c>
      <c r="H349" s="9" t="str">
        <v>author_co</v>
      </c>
      <c r="I349" s="9" t="str">
        <v>author_network</v>
      </c>
      <c r="J349" s="9" t="str">
        <v>通过</v>
      </c>
      <c r="K349" s="9" t="str">
        <v>通过</v>
      </c>
      <c r="L349" s="9" t="str">
        <v>通过</v>
      </c>
      <c r="M349" s="10" t="str">
        <v>通过</v>
      </c>
    </row>
    <row r="350">
      <c r="A350" s="9" t="str">
        <v>WEB-20260717-CO-049</v>
      </c>
      <c r="B350" s="9" t="str">
        <v>co</v>
      </c>
      <c r="C350" s="9" t="str">
        <v>fill_blank</v>
      </c>
      <c r="D350" s="9" t="str">
        <v>openalg-co</v>
      </c>
      <c r="E350" s="9" t="str">
        <v>Chapter 12 Memory: SRAM and DRAM technologies and refresh requirement</v>
      </c>
      <c r="F350" s="9" t="str">
        <v>generic-memory</v>
      </c>
      <c r="G350" s="9" t="str">
        <v>DRAM 以电容电荷保存数据，需要周期刷新并具有较高存储密度。</v>
      </c>
      <c r="H350" s="9" t="str">
        <v>author_co</v>
      </c>
      <c r="I350" s="9" t="str">
        <v>author_network</v>
      </c>
      <c r="J350" s="9" t="str">
        <v>通过</v>
      </c>
      <c r="K350" s="9" t="str">
        <v>通过</v>
      </c>
      <c r="L350" s="9" t="str">
        <v>通过</v>
      </c>
      <c r="M350" s="10" t="str">
        <v>通过</v>
      </c>
    </row>
    <row r="351">
      <c r="A351" s="11" t="str">
        <v>WEB-20260717-CO-050</v>
      </c>
      <c r="B351" s="11" t="str">
        <v>co</v>
      </c>
      <c r="C351" s="11" t="str">
        <v>short_answer</v>
      </c>
      <c r="D351" s="11" t="str">
        <v>openalg-co</v>
      </c>
      <c r="E351" s="11" t="str">
        <v>Chapter 12 Memory: temporal and spatial locality and block transfers</v>
      </c>
      <c r="F351" s="11" t="str">
        <v>generic-cache</v>
      </c>
      <c r="G351" s="11" t="str">
        <v>缓存保留近期数据利用时间局部性，按块调入相邻数据利用空间局部性。</v>
      </c>
      <c r="H351" s="11" t="str">
        <v>author_co</v>
      </c>
      <c r="I351" s="11" t="str">
        <v>author_network</v>
      </c>
      <c r="J351" s="11" t="str">
        <v>通过</v>
      </c>
      <c r="K351" s="11" t="str">
        <v>通过</v>
      </c>
      <c r="L351" s="11" t="str">
        <v>通过</v>
      </c>
      <c r="M351" s="12" t="str">
        <v>通过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6" hidden="0" customWidth="1"/>
    <col min="2" max="2" width="46" hidden="0" customWidth="1"/>
    <col min="3" max="3" width="68" hidden="0" customWidth="1"/>
    <col min="4" max="4" width="30" hidden="0" customWidth="1"/>
    <col min="5" max="5" width="38" hidden="0" customWidth="1"/>
    <col min="6" max="6" width="78" hidden="0" customWidth="1"/>
    <col min="7" max="7" width="22" hidden="0" customWidth="1"/>
  </cols>
  <sheetData>
    <row r="1" ht="30" customHeight="1">
      <c r="A1" s="19" t="str">
        <v>source_id</v>
      </c>
      <c r="B1" s="19" t="str">
        <v>title</v>
      </c>
      <c r="C1" s="19" t="str">
        <v>url</v>
      </c>
      <c r="D1" s="19" t="str">
        <v>version</v>
      </c>
      <c r="E1" s="19" t="str">
        <v>license</v>
      </c>
      <c r="F1" s="19" t="str">
        <v>usage_note</v>
      </c>
      <c r="G1" s="20" t="str">
        <v>subjects</v>
      </c>
    </row>
    <row r="2">
      <c r="A2" s="9" t="str">
        <v>wg14-n3096</v>
      </c>
      <c r="B2" s="9" t="str">
        <v>ISO/IEC 9899:2023 Working Draft N3096</v>
      </c>
      <c r="C2" s="9" t="str">
        <v>https://www.open-std.org/jtc1/sc22/wg14/www/docs/n3096.pdf</v>
      </c>
      <c r="D2" s="9" t="str">
        <v>N3096, 2023-04-01</v>
      </c>
      <c r="E2" s="9" t="str">
        <v>ISO/IEC copyright</v>
      </c>
      <c r="F2" s="9" t="str">
        <v>仅用于核验 C23 规范事实和条款编号；禁止复制条款、示例、表格或图。</v>
      </c>
      <c r="G2" s="10" t="str">
        <v>cpp</v>
      </c>
    </row>
    <row r="3">
      <c r="A3" s="9" t="str">
        <v>wg14-n1570</v>
      </c>
      <c r="B3" s="9" t="str">
        <v>ISO/IEC 9899:2011 Committee Draft N1570</v>
      </c>
      <c r="C3" s="9" t="str">
        <v>https://www.open-std.org/jtc1/sc22/wg14/www/docs/n1570.pdf</v>
      </c>
      <c r="D3" s="9" t="str">
        <v>N1570, 2011-04-12</v>
      </c>
      <c r="E3" s="9" t="str">
        <v>ISO/IEC copyright</v>
      </c>
      <c r="F3" s="9" t="str">
        <v>仅用于核验 C11/C17 基础事实和版本差异；全部题目采用原创表达。</v>
      </c>
      <c r="G3" s="10" t="str">
        <v>cpp</v>
      </c>
    </row>
    <row r="4">
      <c r="A4" s="9" t="str">
        <v>wg21-n4950</v>
      </c>
      <c r="B4" s="9" t="str">
        <v>Working Draft, Standard for Programming Language C++ N4950</v>
      </c>
      <c r="C4" s="9" t="str">
        <v>https://www.open-std.org/jtc1/sc22/wg21/docs/papers/2023/n4950.pdf</v>
      </c>
      <c r="D4" s="9" t="str">
        <v>N4950, C++23 final working draft</v>
      </c>
      <c r="E4" s="9" t="str">
        <v>ISO/IEC copyright</v>
      </c>
      <c r="F4" s="9" t="str">
        <v>仅用于核验 C++23 核心语言和标准库事实；禁止复制规范表达与示例。</v>
      </c>
      <c r="G4" s="10" t="str">
        <v>cpp|stl</v>
      </c>
    </row>
    <row r="5">
      <c r="A5" s="9" t="str">
        <v>wg21-standards</v>
      </c>
      <c r="B5" s="9" t="str">
        <v>WG21 C++ Standards</v>
      </c>
      <c r="C5" s="9" t="str">
        <v>https://www.open-std.org/jtc1/sc22/wg21/docs/standards</v>
      </c>
      <c r="D5" s="9" t="str">
        <v>retrieved 2026-07-17</v>
      </c>
      <c r="E5" s="9" t="str">
        <v>WG21 public committee page</v>
      </c>
      <c r="F5" s="9" t="str">
        <v>用于确认 C++ 各版本和公开草案的对应关系，不复制页面文字。</v>
      </c>
      <c r="G5" s="10" t="str">
        <v>cpp|stl</v>
      </c>
    </row>
    <row r="6">
      <c r="A6" s="9" t="str">
        <v>gcc-c-dialect</v>
      </c>
      <c r="B6" s="9" t="str">
        <v>GCC C Dialect Options</v>
      </c>
      <c r="C6" s="9" t="str">
        <v>https://gcc.gnu.org/onlinedocs/gcc/C-Dialect-Options.html</v>
      </c>
      <c r="D6" s="9" t="str">
        <v>retrieved 2026-07-17</v>
      </c>
      <c r="E6" s="9" t="str">
        <v>GNU documentation</v>
      </c>
      <c r="F6" s="9" t="str">
        <v>只用于明确标为 GCC 的实现或编译选项事实；不复制手册段落。</v>
      </c>
      <c r="G6" s="10" t="str">
        <v>cpp</v>
      </c>
    </row>
    <row r="7">
      <c r="A7" s="9" t="str">
        <v>gcc-cxx-status</v>
      </c>
      <c r="B7" s="9" t="str">
        <v>GCC C++ Standards Support</v>
      </c>
      <c r="C7" s="9" t="str">
        <v>https://gcc.gnu.org/projects/cxx-status.html</v>
      </c>
      <c r="D7" s="9" t="str">
        <v>retrieved 2026-07-17</v>
      </c>
      <c r="E7" s="9" t="str">
        <v>GNU project documentation</v>
      </c>
      <c r="F7" s="9" t="str">
        <v>只用于核验 GCC 实现状态，不把实现行为冒充语言规范。</v>
      </c>
      <c r="G7" s="10" t="str">
        <v>cpp</v>
      </c>
    </row>
    <row r="8">
      <c r="A8" s="9" t="str">
        <v>eel-containers</v>
      </c>
      <c r="B8" s="9" t="str">
        <v>C++ Working Draft - Containers Library</v>
      </c>
      <c r="C8" s="9" t="str">
        <v>https://eel.is/c++draft/containers</v>
      </c>
      <c r="D8" s="9" t="str">
        <v>rolling draft retrieved 2026-07-17</v>
      </c>
      <c r="E8" s="9" t="str">
        <v>C++ working draft; not an ISO publication</v>
      </c>
      <c r="F8" s="9" t="str">
        <v>用于定位条款锚点，最终事实回到固定版 N4950 交叉核对；不复制文字。</v>
      </c>
      <c r="G8" s="10" t="str">
        <v>stl</v>
      </c>
    </row>
    <row r="9">
      <c r="A9" s="9" t="str">
        <v>eel-iterators</v>
      </c>
      <c r="B9" s="9" t="str">
        <v>C++ Working Draft - Iterators Library</v>
      </c>
      <c r="C9" s="9" t="str">
        <v>https://eel.is/c++draft/iterators</v>
      </c>
      <c r="D9" s="9" t="str">
        <v>rolling draft retrieved 2026-07-17</v>
      </c>
      <c r="E9" s="9" t="str">
        <v>C++ working draft; not an ISO publication</v>
      </c>
      <c r="F9" s="9" t="str">
        <v>仅定位迭代器规范条款，题目采用原创中文表达。</v>
      </c>
      <c r="G9" s="10" t="str">
        <v>stl</v>
      </c>
    </row>
    <row r="10">
      <c r="A10" s="9" t="str">
        <v>eel-algorithms</v>
      </c>
      <c r="B10" s="9" t="str">
        <v>C++ Working Draft - Algorithms Library</v>
      </c>
      <c r="C10" s="9" t="str">
        <v>https://eel.is/c++draft/algorithms</v>
      </c>
      <c r="D10" s="9" t="str">
        <v>rolling draft retrieved 2026-07-17</v>
      </c>
      <c r="E10" s="9" t="str">
        <v>C++ working draft; not an ISO publication</v>
      </c>
      <c r="F10" s="9" t="str">
        <v>仅定位算法前置条件、效果和复杂度条款；不复制规范表述。</v>
      </c>
      <c r="G10" s="10" t="str">
        <v>stl</v>
      </c>
    </row>
    <row r="11">
      <c r="A11" s="9" t="str">
        <v>eel-ranges</v>
      </c>
      <c r="B11" s="9" t="str">
        <v>C++ Working Draft - Ranges Library</v>
      </c>
      <c r="C11" s="9" t="str">
        <v>https://eel.is/c++draft/ranges</v>
      </c>
      <c r="D11" s="9" t="str">
        <v>rolling draft retrieved 2026-07-17</v>
      </c>
      <c r="E11" s="9" t="str">
        <v>C++ working draft; not an ISO publication</v>
      </c>
      <c r="F11" s="9" t="str">
        <v>仅定位 Ranges 事实，固定标准版本后原创出题。</v>
      </c>
      <c r="G11" s="10" t="str">
        <v>stl</v>
      </c>
    </row>
    <row r="12">
      <c r="A12" s="9" t="str">
        <v>libstdcpp-manual</v>
      </c>
      <c r="B12" s="9" t="str">
        <v>GNU libstdc++ Manual</v>
      </c>
      <c r="C12" s="9" t="str">
        <v>https://gcc.gnu.org/onlinedocs/libstdc++/</v>
      </c>
      <c r="D12" s="9" t="str">
        <v>retrieved 2026-07-17</v>
      </c>
      <c r="E12" s="9" t="str">
        <v>GNU documentation; components have file-specific licenses</v>
      </c>
      <c r="F12" s="9" t="str">
        <v>只用于明确标为 GNU libstdc++ 的实现事实，不复制文档或代码示例。</v>
      </c>
      <c r="G12" s="10" t="str">
        <v>stl</v>
      </c>
    </row>
    <row r="13">
      <c r="A13" s="9" t="str">
        <v>linux-kernel-docs</v>
      </c>
      <c r="B13" s="9" t="str">
        <v>The Linux Kernel Documentation</v>
      </c>
      <c r="C13" s="9" t="str">
        <v>https://docs.kernel.org/</v>
      </c>
      <c r="D13" s="9" t="str">
        <v>retrieved 2026-07-17</v>
      </c>
      <c r="E13" s="9" t="str">
        <v>Linux kernel documentation; file-specific SPDX, kernel GPL-2.0-only</v>
      </c>
      <c r="F13" s="9" t="str">
        <v>仅核验 Linux 内核事实并记录具体章节；不复制文档段落。</v>
      </c>
      <c r="G13" s="10" t="str">
        <v>linux|os</v>
      </c>
    </row>
    <row r="14">
      <c r="A14" s="9" t="str">
        <v>linux-license-rules</v>
      </c>
      <c r="B14" s="9" t="str">
        <v>Linux Kernel Licensing Rules</v>
      </c>
      <c r="C14" s="9" t="str">
        <v>https://docs.kernel.org/process/license-rules.html</v>
      </c>
      <c r="D14" s="9" t="str">
        <v>retrieved 2026-07-17</v>
      </c>
      <c r="E14" s="9" t="str">
        <v>Linux kernel documentation</v>
      </c>
      <c r="F14" s="9" t="str">
        <v>用于核验文档的 SPDX 与许可边界，不作为现成答题内容。</v>
      </c>
      <c r="G14" s="10" t="str">
        <v>linux|os</v>
      </c>
    </row>
    <row r="15">
      <c r="A15" s="9" t="str">
        <v>linux-man-pages</v>
      </c>
      <c r="B15" s="9" t="str">
        <v>Linux man-pages Project</v>
      </c>
      <c r="C15" s="9" t="str">
        <v>https://www.kernel.org/doc/man-pages/</v>
      </c>
      <c r="D15" s="9" t="str">
        <v>retrieved 2026-07-17</v>
      </c>
      <c r="E15" s="9" t="str">
        <v>page-specific copyright and license</v>
      </c>
      <c r="F15" s="9" t="str">
        <v>逐页核验系统调用事实；不能假定所有页面统一许可，也不复制 man page 文字。</v>
      </c>
      <c r="G15" s="10" t="str">
        <v>linux</v>
      </c>
    </row>
    <row r="16">
      <c r="A16" s="9" t="str">
        <v>linux-fork2</v>
      </c>
      <c r="B16" s="9" t="str">
        <v>fork(2) - Linux manual page</v>
      </c>
      <c r="C16" s="9" t="str">
        <v>https://man7.org/linux/man-pages/man2/fork.2.html</v>
      </c>
      <c r="D16" s="9" t="str">
        <v>retrieved 2026-07-17</v>
      </c>
      <c r="E16" s="9" t="str">
        <v>page-specific man-pages license</v>
      </c>
      <c r="F16" s="9" t="str">
        <v>仅核验 Linux fork 行为、返回值与限制；题目原创表述。</v>
      </c>
      <c r="G16" s="10" t="str">
        <v>linux</v>
      </c>
    </row>
    <row r="17">
      <c r="A17" s="9" t="str">
        <v>linux-execve2</v>
      </c>
      <c r="B17" s="9" t="str">
        <v>execve(2) - Linux manual page</v>
      </c>
      <c r="C17" s="9" t="str">
        <v>https://man7.org/linux/man-pages/man2/execve.2.html</v>
      </c>
      <c r="D17" s="9" t="str">
        <v>retrieved 2026-07-17</v>
      </c>
      <c r="E17" s="9" t="str">
        <v>page-specific man-pages license</v>
      </c>
      <c r="F17" s="9" t="str">
        <v>仅核验程序映像替换和属性保留事实；不复制页面文字。</v>
      </c>
      <c r="G17" s="10" t="str">
        <v>linux</v>
      </c>
    </row>
    <row r="18">
      <c r="A18" s="9" t="str">
        <v>linux-open2</v>
      </c>
      <c r="B18" s="9" t="str">
        <v>open(2) - Linux manual page</v>
      </c>
      <c r="C18" s="9" t="str">
        <v>https://man7.org/linux/man-pages/man2/open.2.html</v>
      </c>
      <c r="D18" s="9" t="str">
        <v>retrieved 2026-07-17</v>
      </c>
      <c r="E18" s="9" t="str">
        <v>page-specific man-pages license</v>
      </c>
      <c r="F18" s="9" t="str">
        <v>仅核验文件描述符、打开文件描述和标志位事实。</v>
      </c>
      <c r="G18" s="10" t="str">
        <v>linux</v>
      </c>
    </row>
    <row r="19">
      <c r="A19" s="9" t="str">
        <v>linux-proc</v>
      </c>
      <c r="B19" s="9" t="str">
        <v>The /proc Filesystem</v>
      </c>
      <c r="C19" s="9" t="str">
        <v>https://docs.kernel.org/filesystems/proc.html</v>
      </c>
      <c r="D19" s="9" t="str">
        <v>retrieved 2026-07-17</v>
      </c>
      <c r="E19" s="9" t="str">
        <v>Linux kernel documentation</v>
      </c>
      <c r="F19" s="9" t="str">
        <v>仅核验 procfs 动态接口事实；题目注明 Linux 范围。</v>
      </c>
      <c r="G19" s="10" t="str">
        <v>linux</v>
      </c>
    </row>
    <row r="20">
      <c r="A20" s="9" t="str">
        <v>linux-mm</v>
      </c>
      <c r="B20" s="9" t="str">
        <v>Linux Memory Management Documentation</v>
      </c>
      <c r="C20" s="9" t="str">
        <v>https://docs.kernel.org/mm/index.html</v>
      </c>
      <c r="D20" s="9" t="str">
        <v>retrieved 2026-07-17</v>
      </c>
      <c r="E20" s="9" t="str">
        <v>Linux kernel documentation</v>
      </c>
      <c r="F20" s="9" t="str">
        <v>仅核验 Linux 内存管理事实，避免把实现细节泛化为所有操作系统。</v>
      </c>
      <c r="G20" s="10" t="str">
        <v>linux|os</v>
      </c>
    </row>
    <row r="21">
      <c r="A21" s="9" t="str">
        <v>bash53</v>
      </c>
      <c r="B21" s="9" t="str">
        <v>GNU Bash Reference Manual</v>
      </c>
      <c r="C21" s="9" t="str">
        <v>https://www.gnu.org/software/bash/manual/bash.html</v>
      </c>
      <c r="D21" s="9" t="str">
        <v>Bash 5.3 manual retrieved 2026-07-17</v>
      </c>
      <c r="E21" s="9" t="str">
        <v>GNU Free Documentation License</v>
      </c>
      <c r="F21" s="9" t="str">
        <v>只核验明确标注为 Bash 的展开、管道、重定向和作业控制事实。</v>
      </c>
      <c r="G21" s="10" t="str">
        <v>linux</v>
      </c>
    </row>
    <row r="22">
      <c r="A22" s="9" t="str">
        <v>coreutils911</v>
      </c>
      <c r="B22" s="9" t="str">
        <v>GNU Coreutils Manual</v>
      </c>
      <c r="C22" s="9" t="str">
        <v>https://www.gnu.org/software/coreutils/manual/coreutils.html</v>
      </c>
      <c r="D22" s="9" t="str">
        <v>Coreutils 9.11 manual retrieved 2026-07-17</v>
      </c>
      <c r="E22" s="9" t="str">
        <v>GNU Free Documentation License 1.3</v>
      </c>
      <c r="F22" s="9" t="str">
        <v>仅核验 GNU Coreutils 行为，不复制手册或把 GNU 选项泛化为 POSIX。</v>
      </c>
      <c r="G22" s="10" t="str">
        <v>linux</v>
      </c>
    </row>
    <row r="23">
      <c r="A23" s="9" t="str">
        <v>glibc242</v>
      </c>
      <c r="B23" s="9" t="str">
        <v>GNU C Library Manual</v>
      </c>
      <c r="C23" s="9" t="str">
        <v>https://www.gnu.org/software/libc/manual/html_node/index.html</v>
      </c>
      <c r="D23" s="9" t="str">
        <v>glibc 2.42 manual retrieved 2026-07-17</v>
      </c>
      <c r="E23" s="9" t="str">
        <v>GNU Free Documentation License 1.3</v>
      </c>
      <c r="F23" s="9" t="str">
        <v>仅核验 glibc/GNU 扩展事实，题目明确实现范围。</v>
      </c>
      <c r="G23" s="10" t="str">
        <v>linux</v>
      </c>
    </row>
    <row r="24">
      <c r="A24" s="9" t="str">
        <v>systemd-docs</v>
      </c>
      <c r="B24" s="9" t="str">
        <v>systemd Manual Pages</v>
      </c>
      <c r="C24" s="9" t="str">
        <v>https://www.freedesktop.org/software/systemd/man/latest/</v>
      </c>
      <c r="D24" s="9" t="str">
        <v>latest manual retrieved 2026-07-17</v>
      </c>
      <c r="E24" s="9" t="str">
        <v>systemd project file-specific licenses</v>
      </c>
      <c r="F24" s="9" t="str">
        <v>仅用于明确标注 systemd 环境的服务和日志题，不泛化为所有 Linux。</v>
      </c>
      <c r="G24" s="10" t="str">
        <v>linux</v>
      </c>
    </row>
    <row r="25">
      <c r="A25" s="9" t="str">
        <v>xv6-book</v>
      </c>
      <c r="B25" s="9" t="str">
        <v>MIT xv6 RISC-V Book</v>
      </c>
      <c r="C25" s="9" t="str">
        <v>https://github.com/mit-pdos/xv6-riscv-book</v>
      </c>
      <c r="D25" s="9" t="str">
        <v>xv6-riscv branch retrieved 2026-07-17</v>
      </c>
      <c r="E25" s="9" t="str">
        <v>MIT-style license in repository</v>
      </c>
      <c r="F25" s="9" t="str">
        <v>用于核验教学操作系统概念；不复制书中练习或把 xv6 实现泛化为所有系统。</v>
      </c>
      <c r="G25" s="10" t="str">
        <v>os</v>
      </c>
    </row>
    <row r="26">
      <c r="A26" s="9" t="str">
        <v>xv6-source</v>
      </c>
      <c r="B26" s="9" t="str">
        <v>MIT xv6 RISC-V Source</v>
      </c>
      <c r="C26" s="9" t="str">
        <v>https://github.com/mit-pdos/xv6-riscv</v>
      </c>
      <c r="D26" s="9" t="str">
        <v>riscv branch retrieved 2026-07-17</v>
      </c>
      <c r="E26" s="9" t="str">
        <v>MIT-style license in repository</v>
      </c>
      <c r="F26" s="9" t="str">
        <v>用于交叉核验进程、虚拟内存、陷阱、锁和文件系统实现；不复制代码。</v>
      </c>
      <c r="G26" s="10" t="str">
        <v>os</v>
      </c>
    </row>
    <row r="27">
      <c r="A27" s="9" t="str">
        <v>linux-scheduler</v>
      </c>
      <c r="B27" s="9" t="str">
        <v>Linux Scheduler Documentation</v>
      </c>
      <c r="C27" s="9" t="str">
        <v>https://docs.kernel.org/scheduler/index.html</v>
      </c>
      <c r="D27" s="9" t="str">
        <v>retrieved 2026-07-17</v>
      </c>
      <c r="E27" s="9" t="str">
        <v>Linux kernel documentation</v>
      </c>
      <c r="F27" s="9" t="str">
        <v>只核验 Linux 当前调度机制并注明实现范围。</v>
      </c>
      <c r="G27" s="10" t="str">
        <v>os</v>
      </c>
    </row>
    <row r="28">
      <c r="A28" s="9" t="str">
        <v>linux-locking</v>
      </c>
      <c r="B28" s="9" t="str">
        <v>Linux Kernel Locking Documentation</v>
      </c>
      <c r="C28" s="9" t="str">
        <v>https://docs.kernel.org/locking/index.html</v>
      </c>
      <c r="D28" s="9" t="str">
        <v>retrieved 2026-07-17</v>
      </c>
      <c r="E28" s="9" t="str">
        <v>Linux kernel documentation</v>
      </c>
      <c r="F28" s="9" t="str">
        <v>仅核验 Linux 锁机制，避免泛化为所有操作系统。</v>
      </c>
      <c r="G28" s="10" t="str">
        <v>os</v>
      </c>
    </row>
    <row r="29">
      <c r="A29" s="9" t="str">
        <v>linux-filesystems</v>
      </c>
      <c r="B29" s="9" t="str">
        <v>Linux Filesystems Documentation</v>
      </c>
      <c r="C29" s="9" t="str">
        <v>https://docs.kernel.org/filesystems/index.html</v>
      </c>
      <c r="D29" s="9" t="str">
        <v>retrieved 2026-07-17</v>
      </c>
      <c r="E29" s="9" t="str">
        <v>Linux kernel documentation</v>
      </c>
      <c r="F29" s="9" t="str">
        <v>仅核验 VFS、inode 与文件系统事实，不复制文档段落。</v>
      </c>
      <c r="G29" s="10" t="str">
        <v>os</v>
      </c>
    </row>
    <row r="30">
      <c r="A30" s="9" t="str">
        <v>posix-2024</v>
      </c>
      <c r="B30" s="9" t="str">
        <v>POSIX.1-2024 System Interfaces</v>
      </c>
      <c r="C30" s="9" t="str">
        <v>https://pubs.opengroup.org/onlinepubs/9799919799/idx/functions.html</v>
      </c>
      <c r="D30" s="9" t="str">
        <v>POSIX.1-2024</v>
      </c>
      <c r="E30" s="9" t="str">
        <v>IEEE/The Open Group copyright</v>
      </c>
      <c r="F30" s="9" t="str">
        <v>仅作接口规范事实依据；不复制文字、表格、示例或测试题。</v>
      </c>
      <c r="G30" s="10" t="str">
        <v>os</v>
      </c>
    </row>
    <row r="31">
      <c r="A31" s="9" t="str">
        <v>ods</v>
      </c>
      <c r="B31" s="9" t="str">
        <v>Open Data Structures</v>
      </c>
      <c r="C31" s="9" t="str">
        <v>https://opendatastructures.org/</v>
      </c>
      <c r="D31" s="9" t="str">
        <v>retrieved 2026-07-17</v>
      </c>
      <c r="E31" s="9" t="str">
        <v>Creative Commons Attribution</v>
      </c>
      <c r="F31" s="9" t="str">
        <v>可用于核验数据结构与复杂度；本批次仍独立创作，不复制原练习。</v>
      </c>
      <c r="G31" s="10" t="str">
        <v>ds</v>
      </c>
    </row>
    <row r="32">
      <c r="A32" s="9" t="str">
        <v>ods-cpp</v>
      </c>
      <c r="B32" s="9" t="str">
        <v>Open Data Structures in C++</v>
      </c>
      <c r="C32" s="9" t="str">
        <v>https://www.opendatastructures.org/ods-cpp.pdf</v>
      </c>
      <c r="D32" s="9" t="str">
        <v>retrieved 2026-07-17</v>
      </c>
      <c r="E32" s="9" t="str">
        <v>Creative Commons Attribution</v>
      </c>
      <c r="F32" s="9" t="str">
        <v>用于交叉核验算法不变量和复杂度证明；不复制文本、图和练习。</v>
      </c>
      <c r="G32" s="10" t="str">
        <v>ds</v>
      </c>
    </row>
    <row r="33">
      <c r="A33" s="9" t="str">
        <v>opendsa</v>
      </c>
      <c r="B33" s="9" t="str">
        <v>OpenDSA</v>
      </c>
      <c r="C33" s="9" t="str">
        <v>https://opendsa.org/</v>
      </c>
      <c r="D33" s="9" t="str">
        <v>retrieved 2026-07-17</v>
      </c>
      <c r="E33" s="9" t="str">
        <v>MIT License</v>
      </c>
      <c r="F33" s="9" t="str">
        <v>用于第二来源交叉核验算法过程；不复制交互练习或题目。</v>
      </c>
      <c r="G33" s="10" t="str">
        <v>ds</v>
      </c>
    </row>
    <row r="34">
      <c r="A34" s="9" t="str">
        <v>nist-dads</v>
      </c>
      <c r="B34" s="9" t="str">
        <v>NIST Dictionary of Algorithms and Data Structures</v>
      </c>
      <c r="C34" s="9" t="str">
        <v>https://xlinux.nist.gov/dads/</v>
      </c>
      <c r="D34" s="9" t="str">
        <v>retrieved 2026-07-17</v>
      </c>
      <c r="E34" s="9" t="str">
        <v>mostly U.S. public domain; CRC Press exceptions</v>
      </c>
      <c r="F34" s="9" t="str">
        <v>只使用未标注 CRC Press 的公共领域条目核验术语；不复制定义。</v>
      </c>
      <c r="G34" s="10" t="str">
        <v>ds</v>
      </c>
    </row>
    <row r="35">
      <c r="A35" s="9" t="str">
        <v>nist-dads-types</v>
      </c>
      <c r="B35" s="9" t="str">
        <v>NIST DADS Type Index</v>
      </c>
      <c r="C35" s="9" t="str">
        <v>https://xlinux.nist.gov/dads/termsType.html</v>
      </c>
      <c r="D35" s="9" t="str">
        <v>retrieved 2026-07-17</v>
      </c>
      <c r="E35" s="9" t="str">
        <v>mostly U.S. public domain; CRC Press exceptions</v>
      </c>
      <c r="F35" s="9" t="str">
        <v>用于核验算法、结构、技术和问题分类，避开受限条目。</v>
      </c>
      <c r="G35" s="10" t="str">
        <v>ds</v>
      </c>
    </row>
    <row r="36">
      <c r="A36" s="9" t="str">
        <v>ieee-8023</v>
      </c>
      <c r="B36" s="9" t="str">
        <v>IEEE 802.3-2022 Ethernet Standard</v>
      </c>
      <c r="C36" s="9" t="str">
        <v>https://standards.ieee.org/ieee/802.3/10422/</v>
      </c>
      <c r="D36" s="9" t="str">
        <v>IEEE 802.3-2022</v>
      </c>
      <c r="E36" s="9" t="str">
        <v>IEEE copyright</v>
      </c>
      <c r="F36" s="9" t="str">
        <v>仅核验以太网事实；不复制标准文字、帧图或表格。</v>
      </c>
      <c r="G36" s="10" t="str">
        <v>network</v>
      </c>
    </row>
    <row r="37">
      <c r="A37" s="9" t="str">
        <v>ieee-8021q</v>
      </c>
      <c r="B37" s="9" t="str">
        <v>IEEE 802.1Q-2022 Bridges and Bridged Networks</v>
      </c>
      <c r="C37" s="9" t="str">
        <v>https://standards.ieee.org/ieee/802.1Q/10323/</v>
      </c>
      <c r="D37" s="9" t="str">
        <v>IEEE 802.1Q-2022</v>
      </c>
      <c r="E37" s="9" t="str">
        <v>IEEE copyright</v>
      </c>
      <c r="F37" s="9" t="str">
        <v>仅核验网桥和 VLAN 事实；全部题目原创表达。</v>
      </c>
      <c r="G37" s="10" t="str">
        <v>network</v>
      </c>
    </row>
    <row r="38">
      <c r="A38" s="9" t="str">
        <v>rfc8200</v>
      </c>
      <c r="B38" s="9" t="str">
        <v>RFC 8200 Internet Protocol, Version 6 Specification</v>
      </c>
      <c r="C38" s="9" t="str">
        <v>https://www.rfc-editor.org/rfc/rfc8200.html</v>
      </c>
      <c r="D38" s="9" t="str">
        <v>RFC 8200</v>
      </c>
      <c r="E38" s="9" t="str">
        <v>IETF Trust Legal Provisions</v>
      </c>
      <c r="F38" s="9" t="str">
        <v>只取 IPv6 规范事实并原创表述；同时检查后续更新。</v>
      </c>
      <c r="G38" s="10" t="str">
        <v>network</v>
      </c>
    </row>
    <row r="39">
      <c r="A39" s="9" t="str">
        <v>rfc9673</v>
      </c>
      <c r="B39" s="9" t="str">
        <v>RFC 9673 IPv6 Hop-by-Hop Options Processing Procedures</v>
      </c>
      <c r="C39" s="9" t="str">
        <v>https://www.rfc-editor.org/rfc/rfc9673.html</v>
      </c>
      <c r="D39" s="9" t="str">
        <v>RFC 9673</v>
      </c>
      <c r="E39" s="9" t="str">
        <v>IETF Trust Legal Provisions</v>
      </c>
      <c r="F39" s="9" t="str">
        <v>用于核验对 RFC 8200 的更新；不复制规范表述。</v>
      </c>
      <c r="G39" s="10" t="str">
        <v>network</v>
      </c>
    </row>
    <row r="40">
      <c r="A40" s="9" t="str">
        <v>rfc9293</v>
      </c>
      <c r="B40" s="9" t="str">
        <v>RFC 9293 Transmission Control Protocol</v>
      </c>
      <c r="C40" s="9" t="str">
        <v>https://www.rfc-editor.org/rfc/rfc9293.html</v>
      </c>
      <c r="D40" s="9" t="str">
        <v>RFC 9293</v>
      </c>
      <c r="E40" s="9" t="str">
        <v>IETF Trust Legal Provisions</v>
      </c>
      <c r="F40" s="9" t="str">
        <v>仅核验 TCP 当前核心规范事实；题干、选项和解析完全原创。</v>
      </c>
      <c r="G40" s="10" t="str">
        <v>network</v>
      </c>
    </row>
    <row r="41">
      <c r="A41" s="9" t="str">
        <v>rfc8085</v>
      </c>
      <c r="B41" s="9" t="str">
        <v>RFC 8085 UDP Usage Guidelines</v>
      </c>
      <c r="C41" s="9" t="str">
        <v>https://www.rfc-editor.org/rfc/rfc8085.html</v>
      </c>
      <c r="D41" s="9" t="str">
        <v>RFC 8085</v>
      </c>
      <c r="E41" s="9" t="str">
        <v>IETF Trust Legal Provisions</v>
      </c>
      <c r="F41" s="9" t="str">
        <v>仅核验 UDP 应用设计事实和模态词，不复制规范文字。</v>
      </c>
      <c r="G41" s="10" t="str">
        <v>network</v>
      </c>
    </row>
    <row r="42">
      <c r="A42" s="9" t="str">
        <v>rfc1034</v>
      </c>
      <c r="B42" s="9" t="str">
        <v>RFC 1034 Domain Names - Concepts and Facilities</v>
      </c>
      <c r="C42" s="9" t="str">
        <v>https://www.rfc-editor.org/rfc/rfc1034.html</v>
      </c>
      <c r="D42" s="9" t="str">
        <v>RFC 1034 with later updates checked</v>
      </c>
      <c r="E42" s="9" t="str">
        <v>IETF Trust Legal Provisions</v>
      </c>
      <c r="F42" s="9" t="str">
        <v>仅核验 DNS 概念，并结合更新规范；不复制原文。</v>
      </c>
      <c r="G42" s="10" t="str">
        <v>network</v>
      </c>
    </row>
    <row r="43">
      <c r="A43" s="9" t="str">
        <v>rfc1035</v>
      </c>
      <c r="B43" s="9" t="str">
        <v>RFC 1035 Domain Names - Implementation and Specification</v>
      </c>
      <c r="C43" s="9" t="str">
        <v>https://www.rfc-editor.org/rfc/rfc1035.html</v>
      </c>
      <c r="D43" s="9" t="str">
        <v>RFC 1035 with later updates checked</v>
      </c>
      <c r="E43" s="9" t="str">
        <v>IETF Trust Legal Provisions</v>
      </c>
      <c r="F43" s="9" t="str">
        <v>仅核验 DNS 协议事实，不把早期限制误写成现代绝对限制。</v>
      </c>
      <c r="G43" s="10" t="str">
        <v>network</v>
      </c>
    </row>
    <row r="44">
      <c r="A44" s="9" t="str">
        <v>rfc9499</v>
      </c>
      <c r="B44" s="9" t="str">
        <v>RFC 9499 DNS Terminology</v>
      </c>
      <c r="C44" s="9" t="str">
        <v>https://www.rfc-editor.org/rfc/rfc9499.html</v>
      </c>
      <c r="D44" s="9" t="str">
        <v>RFC 9499</v>
      </c>
      <c r="E44" s="9" t="str">
        <v>IETF Trust Legal Provisions</v>
      </c>
      <c r="F44" s="9" t="str">
        <v>用于核验权威服务器、递归解析器等现代术语；原创表述。</v>
      </c>
      <c r="G44" s="10" t="str">
        <v>network</v>
      </c>
    </row>
    <row r="45">
      <c r="A45" s="9" t="str">
        <v>rfc6891</v>
      </c>
      <c r="B45" s="9" t="str">
        <v>RFC 6891 Extension Mechanisms for DNS (EDNS(0))</v>
      </c>
      <c r="C45" s="9" t="str">
        <v>https://www.rfc-editor.org/rfc/rfc6891.html</v>
      </c>
      <c r="D45" s="9" t="str">
        <v>RFC 6891</v>
      </c>
      <c r="E45" s="9" t="str">
        <v>IETF Trust Legal Provisions</v>
      </c>
      <c r="F45" s="9" t="str">
        <v>用于核验现代 DNS 报文尺寸协商事实；不复制规范文字。</v>
      </c>
      <c r="G45" s="10" t="str">
        <v>network</v>
      </c>
    </row>
    <row r="46">
      <c r="A46" s="9" t="str">
        <v>rfc7766</v>
      </c>
      <c r="B46" s="9" t="str">
        <v>RFC 7766 DNS Transport over TCP</v>
      </c>
      <c r="C46" s="9" t="str">
        <v>https://www.rfc-editor.org/rfc/rfc7766.html</v>
      </c>
      <c r="D46" s="9" t="str">
        <v>RFC 7766</v>
      </c>
      <c r="E46" s="9" t="str">
        <v>IETF Trust Legal Provisions</v>
      </c>
      <c r="F46" s="9" t="str">
        <v>用于核验 DNS 同时使用 UDP/TCP 的事实；原创出题。</v>
      </c>
      <c r="G46" s="10" t="str">
        <v>network</v>
      </c>
    </row>
    <row r="47">
      <c r="A47" s="9" t="str">
        <v>rfc9110</v>
      </c>
      <c r="B47" s="9" t="str">
        <v>RFC 9110 HTTP Semantics</v>
      </c>
      <c r="C47" s="9" t="str">
        <v>https://www.rfc-editor.org/rfc/rfc9110.html</v>
      </c>
      <c r="D47" s="9" t="str">
        <v>RFC 9110</v>
      </c>
      <c r="E47" s="9" t="str">
        <v>IETF Trust Legal Provisions</v>
      </c>
      <c r="F47" s="9" t="str">
        <v>仅核验 HTTP 方法、状态码、缓存和语义；不复制规范表达。</v>
      </c>
      <c r="G47" s="10" t="str">
        <v>network</v>
      </c>
    </row>
    <row r="48">
      <c r="A48" s="9" t="str">
        <v>rfc8446</v>
      </c>
      <c r="B48" s="9" t="str">
        <v>RFC 8446 The Transport Layer Security (TLS) Protocol Version 1.3</v>
      </c>
      <c r="C48" s="9" t="str">
        <v>https://www.rfc-editor.org/rfc/rfc8446.html</v>
      </c>
      <c r="D48" s="9" t="str">
        <v>RFC 8446</v>
      </c>
      <c r="E48" s="9" t="str">
        <v>IETF Trust Legal Provisions</v>
      </c>
      <c r="F48" s="9" t="str">
        <v>仅核验 TLS 1.3 事实，尤其 0-RTT 风险；题目原创表述。</v>
      </c>
      <c r="G48" s="10" t="str">
        <v>network</v>
      </c>
    </row>
    <row r="49">
      <c r="A49" s="9" t="str">
        <v>rfc9000</v>
      </c>
      <c r="B49" s="9" t="str">
        <v>RFC 9000 QUIC: A UDP-Based Multiplexed and Secure Transport</v>
      </c>
      <c r="C49" s="9" t="str">
        <v>https://www.rfc-editor.org/rfc/rfc9000.html</v>
      </c>
      <c r="D49" s="9" t="str">
        <v>RFC 9000</v>
      </c>
      <c r="E49" s="9" t="str">
        <v>IETF Trust Legal Provisions</v>
      </c>
      <c r="F49" s="9" t="str">
        <v>仅核验 QUIC 传输事实；不复制规范文字或图。</v>
      </c>
      <c r="G49" s="10" t="str">
        <v>network</v>
      </c>
    </row>
    <row r="50">
      <c r="A50" s="9" t="str">
        <v>rfc4861</v>
      </c>
      <c r="B50" s="9" t="str">
        <v>RFC 4861 Neighbor Discovery for IP version 6</v>
      </c>
      <c r="C50" s="9" t="str">
        <v>https://www.rfc-editor.org/rfc/rfc4861.html</v>
      </c>
      <c r="D50" s="9" t="str">
        <v>RFC 4861 with updates checked</v>
      </c>
      <c r="E50" s="9" t="str">
        <v>IETF Trust Legal Provisions</v>
      </c>
      <c r="F50" s="9" t="str">
        <v>仅核验 IPv6 邻居发现事实；原创表述。</v>
      </c>
      <c r="G50" s="10" t="str">
        <v>network</v>
      </c>
    </row>
    <row r="51">
      <c r="A51" s="9" t="str">
        <v>rfc4443</v>
      </c>
      <c r="B51" s="9" t="str">
        <v>RFC 4443 ICMPv6</v>
      </c>
      <c r="C51" s="9" t="str">
        <v>https://www.rfc-editor.org/rfc/rfc4443.html</v>
      </c>
      <c r="D51" s="9" t="str">
        <v>RFC 4443 with updates checked</v>
      </c>
      <c r="E51" s="9" t="str">
        <v>IETF Trust Legal Provisions</v>
      </c>
      <c r="F51" s="9" t="str">
        <v>仅核验 ICMPv6 事实；不复制消息格式图。</v>
      </c>
      <c r="G51" s="10" t="str">
        <v>network</v>
      </c>
    </row>
    <row r="52">
      <c r="A52" s="9" t="str">
        <v>rfc8201</v>
      </c>
      <c r="B52" s="9" t="str">
        <v>RFC 8201 Path MTU Discovery for IP version 6</v>
      </c>
      <c r="C52" s="9" t="str">
        <v>https://www.rfc-editor.org/rfc/rfc8201.html</v>
      </c>
      <c r="D52" s="9" t="str">
        <v>RFC 8201</v>
      </c>
      <c r="E52" s="9" t="str">
        <v>IETF Trust Legal Provisions</v>
      </c>
      <c r="F52" s="9" t="str">
        <v>仅核验 IPv6 路径 MTU 发现事实；原创出题。</v>
      </c>
      <c r="G52" s="10" t="str">
        <v>network</v>
      </c>
    </row>
    <row r="53">
      <c r="A53" s="9" t="str">
        <v>riscv-spec-library</v>
      </c>
      <c r="B53" s="9" t="str">
        <v>RISC-V Ratified Specifications Library</v>
      </c>
      <c r="C53" s="9" t="str">
        <v>https://docs.riscv.org/reference/home/index.html</v>
      </c>
      <c r="D53" s="9" t="str">
        <v>stable library retrieved 2026-07-17</v>
      </c>
      <c r="E53" s="9" t="str">
        <v>RISC-V specifications, CC BY 4.0</v>
      </c>
      <c r="F53" s="9" t="str">
        <v>用于固定已批准规范版本；题目记录具体卷和章节。</v>
      </c>
      <c r="G53" s="10" t="str">
        <v>co</v>
      </c>
    </row>
    <row r="54">
      <c r="A54" s="9" t="str">
        <v>riscv-isa-source</v>
      </c>
      <c r="B54" s="9" t="str">
        <v>RISC-V Instruction Set Manual Source</v>
      </c>
      <c r="C54" s="9" t="str">
        <v>https://github.com/riscv/riscv-isa-manual</v>
      </c>
      <c r="D54" s="9" t="str">
        <v>retrieved 2026-07-17</v>
      </c>
      <c r="E54" s="9" t="str">
        <v>Creative Commons Attribution 4.0</v>
      </c>
      <c r="F54" s="9" t="str">
        <v>用于版本和章节追踪；不直接复制规范文字、图表或代码。</v>
      </c>
      <c r="G54" s="10" t="str">
        <v>co</v>
      </c>
    </row>
    <row r="55">
      <c r="A55" s="9" t="str">
        <v>riscv-rv32i</v>
      </c>
      <c r="B55" s="9" t="str">
        <v>RISC-V RV32I Base Integer Instruction Set</v>
      </c>
      <c r="C55" s="9" t="str">
        <v>https://docs.riscv.org/reference/isa/unpriv/rv32.html</v>
      </c>
      <c r="D55" s="9" t="str">
        <v>ratified specification retrieved 2026-07-17</v>
      </c>
      <c r="E55" s="9" t="str">
        <v>Creative Commons Attribution 4.0</v>
      </c>
      <c r="F55" s="9" t="str">
        <v>核验 RV32I 寄存器、指令格式、加载存储与控制转移事实。</v>
      </c>
      <c r="G55" s="10" t="str">
        <v>co</v>
      </c>
    </row>
    <row r="56">
      <c r="A56" s="9" t="str">
        <v>riscv-priv</v>
      </c>
      <c r="B56" s="9" t="str">
        <v>RISC-V Privileged Architecture</v>
      </c>
      <c r="C56" s="9" t="str">
        <v>https://docs.riscv.org/reference/isa/priv/priv-index.html</v>
      </c>
      <c r="D56" s="9" t="str">
        <v>ratified specification retrieved 2026-07-17</v>
      </c>
      <c r="E56" s="9" t="str">
        <v>Creative Commons Attribution 4.0</v>
      </c>
      <c r="F56" s="9" t="str">
        <v>核验特权级、CSR、陷阱和地址转换事实；避免把可选模式写成必选。</v>
      </c>
      <c r="G56" s="10" t="str">
        <v>os|co</v>
      </c>
    </row>
    <row r="57">
      <c r="A57" s="9" t="str">
        <v>riscv-a</v>
      </c>
      <c r="B57" s="9" t="str">
        <v>RISC-V A Extension for Atomic Instructions</v>
      </c>
      <c r="C57" s="9" t="str">
        <v>https://docs.riscv.org/reference/isa/v20240411/unpriv/a-st-ext.html</v>
      </c>
      <c r="D57" s="9" t="str">
        <v>2024-04-11 snapshot</v>
      </c>
      <c r="E57" s="9" t="str">
        <v>Creative Commons Attribution 4.0</v>
      </c>
      <c r="F57" s="9" t="str">
        <v>核验 LR/SC、AMO 与内存顺序事实；题目注明扩展范围。</v>
      </c>
      <c r="G57" s="10" t="str">
        <v>co</v>
      </c>
    </row>
    <row r="58">
      <c r="A58" s="9" t="str">
        <v>openalg-co</v>
      </c>
      <c r="B58" s="9" t="str">
        <v>OpenALG Computer Organization</v>
      </c>
      <c r="C58" s="9" t="str">
        <v>https://alg.manifoldapp.org/projects/computer-organization</v>
      </c>
      <c r="D58" s="9" t="str">
        <v>retrieved 2026-07-17</v>
      </c>
      <c r="E58" s="9" t="str">
        <v>Creative Commons Attribution 4.0</v>
      </c>
      <c r="F58" s="9" t="str">
        <v>用于交叉核验数据表示、流水线、存储层次和虚拟内存；不复制练习。</v>
      </c>
      <c r="G58" s="10" t="str">
        <v>co</v>
      </c>
    </row>
    <row r="59">
      <c r="A59" s="11" t="str">
        <v>ieee754-2019</v>
      </c>
      <c r="B59" s="11" t="str">
        <v>IEEE 754-2019 Floating-Point Arithmetic</v>
      </c>
      <c r="C59" s="11" t="str">
        <v>https://standards.ieee.org/ieee/754/6210/</v>
      </c>
      <c r="D59" s="11" t="str">
        <v>IEEE 754-2019</v>
      </c>
      <c r="E59" s="11" t="str">
        <v>IEEE copyright</v>
      </c>
      <c r="F59" s="11" t="str">
        <v>仅核验浮点格式和语义事实；不复制标准文字、表格或图。</v>
      </c>
      <c r="G59" s="12" t="str">
        <v>co</v>
      </c>
    </row>
  </sheetData>
  <pageMargins left="0.7" right="0.7" top="0.75" bottom="0.75" header="0.3" footer="0.3"/>
</worksheet>
</file>